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2.svg" ContentType="image/svg+xml"/>
  <Override PartName="/xl/media/image4.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firstSheet="4" activeTab="7"/>
  </bookViews>
  <sheets>
    <sheet name="MIL 科学注塑适用范围MIL Scientific Mold" sheetId="24" r:id="rId1"/>
    <sheet name="MILScientific Injection Molding" sheetId="14" r:id="rId2"/>
    <sheet name="温度设置 Set Temp" sheetId="15" r:id="rId3"/>
    <sheet name="粘度曲线Viscosity Curve" sheetId="16" r:id="rId4"/>
    <sheet name="动态压力降测试Dynamic pressure  test" sheetId="17" r:id="rId5"/>
    <sheet name="型腔平衡测试CAV balance test" sheetId="18" r:id="rId6"/>
    <sheet name="压力工艺窗口Pressure process window" sheetId="19" r:id="rId7"/>
    <sheet name="浇口冻结测试Gate freezing test" sheetId="20" r:id="rId8"/>
    <sheet name="锁模力优化Optimization of clamping f" sheetId="21" r:id="rId9"/>
    <sheet name="MIL INJECTION MOLD TRIAL SHOT R" sheetId="23" r:id="rId10"/>
    <sheet name="Standard curve of the sensor" sheetId="22" r:id="rId11"/>
  </sheets>
  <definedNames>
    <definedName name="_xlnm.Print_Area" localSheetId="0">'MIL 科学注塑适用范围MIL Scientific Mold'!$A$1:$H$31</definedName>
    <definedName name="_xlnm.Print_Area" localSheetId="1">'MILScientific Injection Molding'!$A$1:$L$49</definedName>
    <definedName name="_xlnm.Print_Area" localSheetId="10">'Standard curve of the sensor'!$A$1:$J$49</definedName>
    <definedName name="_xlnm.Print_Area" localSheetId="4">'动态压力降测试Dynamic pressure  test'!$A$1:$H$42</definedName>
    <definedName name="_xlnm.Print_Area" localSheetId="7">'浇口冻结测试Gate freezing test'!$A$1:$I$47</definedName>
    <definedName name="_xlnm.Print_Area" localSheetId="8">'锁模力优化Optimization of clamping f'!$A$1:$H$41</definedName>
    <definedName name="_xlnm.Print_Area" localSheetId="2">'温度设置 Set Temp'!$A$1:$P$40</definedName>
    <definedName name="_xlnm.Print_Area" localSheetId="5">'型腔平衡测试CAV balance test'!$A$1:$O$43</definedName>
    <definedName name="_xlnm.Print_Area" localSheetId="6">'压力工艺窗口Pressure process window'!$A$1:$I$34</definedName>
    <definedName name="_xlnm.Print_Area" localSheetId="3">'粘度曲线Viscosity Curve'!$A$1:$H$40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<sst xmlns="http://schemas.openxmlformats.org/spreadsheetml/2006/main" count="556" uniqueCount="405">
  <si>
    <t>MIL 科学注塑适用范围
MIL Scientific Molding Applicable Scope</t>
  </si>
  <si>
    <t>模具类型
Mold Tpye</t>
  </si>
  <si>
    <t>温度设定
Temp. Setting</t>
  </si>
  <si>
    <t>粘度曲线
Viscosity Curve</t>
  </si>
  <si>
    <t>动态压力降
Dynamic Pressure Drop</t>
  </si>
  <si>
    <t>型腔平衡
Cavity Balance</t>
  </si>
  <si>
    <t>压力工艺窗口
Pressure Process Window</t>
  </si>
  <si>
    <t>浇口冻结测试
gate freezingtest</t>
  </si>
  <si>
    <t>锁模力优化
Optimization of clamping force</t>
  </si>
  <si>
    <t>Over mold（soft plastic）</t>
  </si>
  <si>
    <t>选做
Optional</t>
  </si>
  <si>
    <t>热流道模具
Hot Runner Mold</t>
  </si>
  <si>
    <t>1shot 胶量体积/注塑机总胶量≤20%
The volume of 1shot /the total  volume of the injection machine≤20%</t>
  </si>
  <si>
    <t>气辅模具
Gas-Assisted Mold</t>
  </si>
  <si>
    <t>单腔模具
Single Cavity Mold</t>
  </si>
  <si>
    <t>双色模
2K mold</t>
  </si>
  <si>
    <t xml:space="preserve">备注Note：
1.除表格模具类型以外的模具科学注塑需要做所有测试项
All test items need to be conducted for scientific injection molding of molds other than the mold types in the table.
2.双色模只做产品占比大的主胶位那一射
For 2K Molds, only the main shot (the shot with the larger product portion) is tested.
3.当做粘度曲线时设置最佳速度时对应压力如果大于机台最大注塑压力的85%时则动态压力将测试时必做项
 低于机台最大注塑压力85%时动态压力测试 为选做项  
 When setting optimal  speed for the Viscosity Curve test, if the corresponding pressure exceeds 85% of the machine's maximum injection pressure, the Dynamic Pressure Drop test becomes mandatory. If below 85%, it remains optional. </t>
  </si>
  <si>
    <t xml:space="preserve"> MIL Scientific Injection Molding Validation             </t>
  </si>
  <si>
    <t>产品信息（Part Information)</t>
  </si>
  <si>
    <t>Model No</t>
  </si>
  <si>
    <t>018467001</t>
  </si>
  <si>
    <t>供应商
(Supplier)</t>
  </si>
  <si>
    <t>GM</t>
  </si>
  <si>
    <t>负责人
Owner</t>
  </si>
  <si>
    <t>汪维</t>
  </si>
  <si>
    <t>试模日期
Shot data</t>
  </si>
  <si>
    <t>Part No</t>
  </si>
  <si>
    <t>Part Name</t>
  </si>
  <si>
    <t>Picture</t>
  </si>
  <si>
    <t>产品理论重量
Part evaluate weight
(g)</t>
  </si>
  <si>
    <t>实际重量
part actual weight
（g）</t>
  </si>
  <si>
    <t>水口重量
gate weight
(g)</t>
  </si>
  <si>
    <t>理论总重量
(evaluate total weight)
shot(g)</t>
  </si>
  <si>
    <t>备注
Remark</t>
  </si>
  <si>
    <t xml:space="preserve"> Handle Housing Support</t>
  </si>
  <si>
    <t>Handle Housing Cover</t>
  </si>
  <si>
    <t>模具信息(Tooling information)</t>
  </si>
  <si>
    <t>模号(T/N)</t>
  </si>
  <si>
    <t>TG34724342-07</t>
  </si>
  <si>
    <t>流道形式
Runner type</t>
  </si>
  <si>
    <t>CAV</t>
  </si>
  <si>
    <t>1+1</t>
  </si>
  <si>
    <t>周期
cycle time
（S）</t>
  </si>
  <si>
    <t>材料信息(Material information)</t>
  </si>
  <si>
    <t>品牌
Brand</t>
  </si>
  <si>
    <t>型号(TYPE)</t>
  </si>
  <si>
    <t>材料编号
Material number</t>
  </si>
  <si>
    <t>颜色
color</t>
  </si>
  <si>
    <t>密度
Density（g/cm）</t>
  </si>
  <si>
    <r>
      <rPr>
        <b/>
        <sz val="9"/>
        <color theme="1"/>
        <rFont val="等线"/>
        <charset val="134"/>
        <scheme val="minor"/>
      </rPr>
      <t xml:space="preserve">试模前含水率
</t>
    </r>
    <r>
      <rPr>
        <sz val="9"/>
        <color theme="1"/>
        <rFont val="等线"/>
        <charset val="134"/>
        <scheme val="minor"/>
      </rPr>
      <t>Moisture content before shot</t>
    </r>
  </si>
  <si>
    <t>博云</t>
  </si>
  <si>
    <t>PA6 260G6 RE310</t>
  </si>
  <si>
    <t>RED</t>
  </si>
  <si>
    <t>N/A</t>
  </si>
  <si>
    <t>推荐烘烤温度
Recommended Drying temperature(°C)</t>
  </si>
  <si>
    <t>推荐烘烤时间
Drying Time(H)</t>
  </si>
  <si>
    <t>推荐模温
Recommended Mold temperature(°C)</t>
  </si>
  <si>
    <t>推荐料温
Recommended melt temperature(°C)</t>
  </si>
  <si>
    <t>材料MFR
Raw material MFR</t>
  </si>
  <si>
    <t>产品MFR
Part MFR</t>
  </si>
  <si>
    <t>80~100</t>
  </si>
  <si>
    <t>2~3</t>
  </si>
  <si>
    <t>50 ~ 80</t>
  </si>
  <si>
    <t>230 ~ 260</t>
  </si>
  <si>
    <t>试模机台( Injection machine)</t>
  </si>
  <si>
    <t>机台号
Machine number</t>
  </si>
  <si>
    <t>类型
Machine type</t>
  </si>
  <si>
    <t>吨位
Machine Size
（Ton）</t>
  </si>
  <si>
    <t>螺杆直径
Screw size)
（mm）</t>
  </si>
  <si>
    <t>最大注塑压力
Max injection pressure
（Mpa）</t>
  </si>
  <si>
    <t>最大液压压力
Max pump pressure
（Bar）</t>
  </si>
  <si>
    <t>最大射胶速度
Max injection speed
mm/s</t>
  </si>
  <si>
    <t>最大行程
Platen stroke
（mm）</t>
  </si>
  <si>
    <t>23#</t>
  </si>
  <si>
    <t>YIZUMI</t>
  </si>
  <si>
    <t>油压机</t>
  </si>
  <si>
    <t>增强比
Intensification Ratio</t>
  </si>
  <si>
    <t>滞留时间
Retention time (min)</t>
  </si>
  <si>
    <t>占总胶量百分比/shot
（推荐大于20%并小于85%）
Percentage of total volume /shot
(Recommended to be more than 20% and less than 85%)</t>
  </si>
  <si>
    <t>MF推荐压力
MF recommend Pressure
（Mpa）</t>
  </si>
  <si>
    <t>MF浇口冻结时间
MF gate freeze time
（s）</t>
  </si>
  <si>
    <t>MF推荐冷却时间
MF recommended cooling time （s）</t>
  </si>
  <si>
    <t>常用材料推荐滞留时间范围
The recommended retention time range for commonly used materials</t>
  </si>
  <si>
    <t>常用材料名称 Material type</t>
  </si>
  <si>
    <t xml:space="preserve">推荐最长滞留时间范围(min)
The recommended maximum retention time range </t>
  </si>
  <si>
    <t>说明 Instruction</t>
  </si>
  <si>
    <t>LDPE/HDPE（聚乙烯）</t>
  </si>
  <si>
    <t>4~6</t>
  </si>
  <si>
    <t>耐热性较好，但过长停留可能导致氧化降解。
It has good heat resistance, but excessive retention may lead to oxidative degradation</t>
  </si>
  <si>
    <t>PP（聚丙烯）</t>
  </si>
  <si>
    <t>类似PE，需避免高温下长时间停留。
Similar to PE, it is necessary to avoid staying at high temperatures for a long time.</t>
  </si>
  <si>
    <t>ABS（丙烯腈丁二烯苯乙烯）</t>
  </si>
  <si>
    <t>5~8</t>
  </si>
  <si>
    <t>耐热性较好，但苯乙烯组分可能挥发，影响性能。
It has good heat resistance, but the styrene component may volatilize, affecting its performance.</t>
  </si>
  <si>
    <t>PC（聚碳酸酯）</t>
  </si>
  <si>
    <t>6~10</t>
  </si>
  <si>
    <t>高温下易水解，需预干燥，停留时间可稍长。
It is prone to hydrolysis at high temperatures and requires pre-drying. The retention time can be slightly longer.</t>
  </si>
  <si>
    <t>PA6/PA66（尼龙）</t>
  </si>
  <si>
    <t>4~8</t>
  </si>
  <si>
    <t>吸湿性强，需干燥；高温下可能降解，时间不宜过长。
It has strong hygroscopicity and requires drying. It may degrade at high temperatures, but the time should not be too long.</t>
  </si>
  <si>
    <t>POM（聚甲醛）</t>
  </si>
  <si>
    <t>4~7</t>
  </si>
  <si>
    <t>对过热敏感，易分解产生甲醛气体，需精确控制。
It is sensitive to overheating and prone to decomposition to produce formaldehyde gas, which requires precise control.</t>
  </si>
  <si>
    <t>PET（聚酯）</t>
  </si>
  <si>
    <t>3~5</t>
  </si>
  <si>
    <t>易水解，需充分干燥；停留过长易导致粘度下降和降解。
It is prone to hydrolysis and requires thorough drying. Staying for too long can easily lead to a decrease in viscosity and degradation.</t>
  </si>
  <si>
    <t>PBT（聚对苯二甲酸丁二醇酯）</t>
  </si>
  <si>
    <t>类似PET，需快速加工避免降解。
Similar to PET, it needs to be processed quickly to avoid degradation.</t>
  </si>
  <si>
    <t>TPU（热塑性聚氨酯）</t>
  </si>
  <si>
    <t>3~6</t>
  </si>
  <si>
    <t>黏度高，停留过长可能导致交联或变色。
High viscosity. Prolonged residence may lead to cross-linking or discoloration.</t>
  </si>
  <si>
    <t>PMMA（亚克力）</t>
  </si>
  <si>
    <t>透明性要求高，需避免热分解导致的雾化。
High transparency is required, and fogging caused by thermal decomposition needs to be avoided</t>
  </si>
  <si>
    <t>PEEK（聚醚醚酮）</t>
  </si>
  <si>
    <t>10~15</t>
  </si>
  <si>
    <t>耐高温性能优异，允许较长停留时间，但需避免局部过热。
It has excellent high-temperature resistance and allows for a longer residence time, but local overheating should be avoided.</t>
  </si>
  <si>
    <t>流程图 flow diagram</t>
  </si>
  <si>
    <t>测试总结</t>
  </si>
  <si>
    <t>推荐填充速度
Recommended fill speed</t>
  </si>
  <si>
    <t>峰值压力占机台
最大压力%
Peak pressure accounts for the machine
Maximum pressure</t>
  </si>
  <si>
    <t>型腔平衡
CAV balance
(OK or NG)</t>
  </si>
  <si>
    <t>推荐保压压力
Recommended Hold pressure</t>
  </si>
  <si>
    <t>推荐保压时间
Recommended Hold time</t>
  </si>
  <si>
    <t>推荐锁模力
Recommended Clamping Force</t>
  </si>
  <si>
    <t>百分比(Percent)</t>
  </si>
  <si>
    <t>mm/s</t>
  </si>
  <si>
    <t>S</t>
  </si>
  <si>
    <t>批准Approved：</t>
  </si>
  <si>
    <t>日期Date：</t>
  </si>
  <si>
    <t>温度设置 Temperature set</t>
  </si>
  <si>
    <t>热流道温控箱（°C）
Hot runner temperature control box</t>
  </si>
  <si>
    <t>炮台温度(°C)
Barrel Temp</t>
  </si>
  <si>
    <t>射咀
Nozzle</t>
  </si>
  <si>
    <t>第一段
Zone1</t>
  </si>
  <si>
    <t>第二段
Zone2</t>
  </si>
  <si>
    <t>第三段
ZOne3</t>
  </si>
  <si>
    <t>第四段
Zone4</t>
  </si>
  <si>
    <t>第五段
Zone5</t>
  </si>
  <si>
    <t>前模温度CAV Temp</t>
  </si>
  <si>
    <t>设置温度°C
Set Temp °C</t>
  </si>
  <si>
    <t>运水链接方式
Cooling In/Out</t>
  </si>
  <si>
    <t>Example:（in 1==&gt;out 1==&gt;  in 2==&gt; ）</t>
  </si>
  <si>
    <t>后模温度COR Temp</t>
  </si>
  <si>
    <t>Example（in 1==&gt;out 1==&gt;  in 2==&gt; ）</t>
  </si>
  <si>
    <t>行位/其他 Slide/other</t>
  </si>
  <si>
    <t>Slider 1</t>
  </si>
  <si>
    <t>Slider 2</t>
  </si>
  <si>
    <t>Slider 3</t>
  </si>
  <si>
    <t>Slider 4</t>
  </si>
  <si>
    <t>Slider 5</t>
  </si>
  <si>
    <t>Slider 6</t>
  </si>
  <si>
    <t>前模实际模温(°C)
Act. Temp of the CAV side(°C)</t>
  </si>
  <si>
    <t>后模实际模温(°C)
Act. Temp of the COR side(°C)</t>
  </si>
  <si>
    <t>粘度曲线 Viscosity Curve</t>
  </si>
  <si>
    <t>目的（PURPOSE）
找到最佳射胶速度
Find the optimal injection speed.
试验方法（PROCEDURE）
1.只设置一段填充，关闭保压压力和保压时间
Only set one stage of filling, and close the holding pressure and holding time.
2.设置高压高速，调整螺杆位置找到产品外形90%-95%的状态
Set high pressure and high speed, and adjust the position of the screw to reach 90%-95% of the fill.
3.从高速至低速开始测试。
Start the test from high speed to low speed.
4.从高速到低速记录填充峰值压力和填充时间
Record the peak filling pressure and filling time from high speed to low speed.
5.计算剪切速率和有效粘度（自动）
Calculate shear rate and effective viscosity (Automatic)
6.绘制粘度曲线（自动）
Draw viscosity curve (Automatic).
7.选择有效粘度曲线图中有效粘度趋于平缓区域对应的剪切速率，根据最佳剪切速率区间从而选出最佳射胶速度区间。
Select the shear rate corresponding to the area where the effective viscosity tends to be flat in the effective viscosity curve graph, and then select the optimal injection speed range based on the optimal shear rate range</t>
  </si>
  <si>
    <t>有效粘度  Effective Viscosity</t>
  </si>
  <si>
    <t>填充速度
Fill speed</t>
  </si>
  <si>
    <t>切换位置
Switch position</t>
  </si>
  <si>
    <t>填充时间
Fill time</t>
  </si>
  <si>
    <t>注塑峰值压力
Injection peak pressure</t>
  </si>
  <si>
    <t>剪切率
Shear rate</t>
  </si>
  <si>
    <t>有效粘度
Effective Viscosity</t>
  </si>
  <si>
    <t>百分比 Percent</t>
  </si>
  <si>
    <t>mm/sec</t>
  </si>
  <si>
    <t>mm</t>
  </si>
  <si>
    <t>sec</t>
  </si>
  <si>
    <t>Bar</t>
  </si>
  <si>
    <t>1/t</t>
  </si>
  <si>
    <t>MPa*s</t>
  </si>
  <si>
    <t>推荐注塑速度
Recommended injection speed</t>
  </si>
  <si>
    <t>百分比 
Percent</t>
  </si>
  <si>
    <t>70%~90%</t>
  </si>
  <si>
    <t>53~69</t>
  </si>
  <si>
    <t>动态压力降测试Dynamic pressure  test</t>
  </si>
  <si>
    <t>目的（PURPOSE）
确定在填充过程中注射压力的损失情况。
Determine the loss of injection pressure during the filling process.
试验方法（PROCEDURE)
1.只设置一段填充，关闭保压压力和保压时间。
Only set one stage of filling, and close the holding pressure and holding time.
2.设置根据粘度曲线找到的最佳射胶速度为填充速度。
Set the optimal injection speed found based on the viscosity curve as the filling speed
3.后退炮台空射，记录压力峰值。
Withdraw the nozzle for empty shooting and record the peak pressure.
4.调整射胶位置，使熔胶刚好填充满主流道，记录压力峰值
Adjust the injection position, just fill the main runner, and record the peak pressure
5.调整射胶位置，使熔胶填充主流道和分流道，记录压力峰值
Adjust the injection position to fill the main runner and the distribution runner, and record the peak pressure
6.调整射胶位置，使熔胶刚好通过进浇口，记录压力峰值
Adjust the injection position, just passe through the gate, and record the peak pressure
7.调整射胶位置，使熔胶填满型腔50%，记录压力峰值
Adjust the injection position to fill 50% of the cavity, and record the peak pressure
8.调整射胶位置，使熔胶填满型腔99%，记录压力峰值
Adjust the injection position to  fill 99% of the cavity, and record the peak pressure
9.绘制压力损失图，分析压力损失是否合理（自动）
Draw the pressure loss graph and analyze whether the pressure loss is reasonable (Automatic)</t>
  </si>
  <si>
    <t>压力单位(Pressure unit)</t>
  </si>
  <si>
    <t>序号
Number</t>
  </si>
  <si>
    <t>流动截面
Flow section</t>
  </si>
  <si>
    <t>峰值压力
Peak pressure</t>
  </si>
  <si>
    <t>喷咀Nozzle</t>
  </si>
  <si>
    <t>流道Runner</t>
  </si>
  <si>
    <t>浇口Gate</t>
  </si>
  <si>
    <t>50%产品
fill 50% part</t>
  </si>
  <si>
    <t>产品V/P
V/P part</t>
  </si>
  <si>
    <t>填充V/P位置
的压力
V/P pressure</t>
  </si>
  <si>
    <t>峰值压力占机台最大压力%
Peak pressure accounts for the machine
Maximum pressure</t>
  </si>
  <si>
    <t xml:space="preserve">备注：动态压力降测试属于选做项
填充到产品体积99%，推荐达到粘度曲线找到的填充速度所需的填充压力不超过机台最大压力的85%
Note: The dynamic pressure test is an optional item. 
Fill up to 99% of the product volume. It is recommended that the filling pressure required to reach the filling speed found by the viscosity curve does not exceed 85% of the maximum pressure of the machine
</t>
  </si>
  <si>
    <t>型腔平衡测试 CAV balance test</t>
  </si>
  <si>
    <t>多腔同一产品模具 Multi-cavities mold for the same product</t>
  </si>
  <si>
    <t xml:space="preserve">目的（PURPOSE）
确认多型腔模具的平衡性
Confirm the balance of the multi-cavities mold
试验方法（PROCEDURE)
1.只设定一段填充，关掉保压压力和时间
Only set one stage of filling, and close the holding pressure and holding time.
2.设置根据粘度曲线找到的最佳射胶速度为填充速度。
Set the optimal injection speed found based on the viscosity curve as the filling speed.
3.待注塑稳定后分别注塑一模短射20%~70%和VP位置的零件，称重每个零件的重量。
After the injection molding is stable, inject 20%~70% and VP position of the parts into one mold respectively, and weigh the weight of each part.
4.计算不平衡程度（自动） 
Calculate the degree of imbalance (Automatic)
5.当产品重量≤1g,普通称无法满足称重精度，建议用目视判断型腔平衡，并添加照片。
When the product weight is ≤1g, it cannot meet the weighing accuracy requirements. It is recommended to visually judge the balance of the cavity.
</t>
  </si>
  <si>
    <t>短射产品体积20%~70%
The volume of short-shot products is 20% to 70%</t>
  </si>
  <si>
    <t>短射产品VP位置
The VP position of short-shot products</t>
  </si>
  <si>
    <t>型腔#
Cav#</t>
  </si>
  <si>
    <t>照片
Picture</t>
  </si>
  <si>
    <t>shot1
（g）</t>
  </si>
  <si>
    <t>shot2
（g）</t>
  </si>
  <si>
    <t>shot3
（g）</t>
  </si>
  <si>
    <t>平均重量
Ave weight
（g）</t>
  </si>
  <si>
    <t>型腔#
Cav #</t>
  </si>
  <si>
    <t>最大值：
Min value</t>
  </si>
  <si>
    <t>最小值：
Min Value</t>
  </si>
  <si>
    <t>最小值：
Min value</t>
  </si>
  <si>
    <t>不平衡程度
Degree of imbalance</t>
  </si>
  <si>
    <t>推荐判定标准：小于或等于3% 为OK.
Recommended judgment criterion: less than or equal to 3% is considered OK.</t>
  </si>
  <si>
    <t>家族模具 Family mold</t>
  </si>
  <si>
    <t>目的 （PURPOSE）
确认多型腔模具的平衡性
Confirm the balance of the multi-cavities mold
试验方法（PROCEDURE)
1.只设定一段填充，关掉保压压力和时间
Only set one stage of filling, and close the holding pressure and holding time.
2.设置根据粘度曲线找到的最佳射胶速度为填充速度。
Set the optimal injection speed found based on the viscosity curve as the filling speed.
3.待注塑稳定后分别注塑一模短射20%~70%和VP位置的零件，称重每个零件的重量。
After the injection molding is stable, inject 20%~70% and VP position of the parts into one mold respectively, and weigh the weight of each part.
4.计算不平衡程度（自动）
Calculate the degree of imbalance (Automatic)
5.如果目视平衡结果与重量占总量百分比平衡偏差比较大以目视平衡为准
If the visual balance result deviates significantly from the weight as a percentage of the total weight, the visual balance shall prevail</t>
  </si>
  <si>
    <t>理论重量（g）</t>
  </si>
  <si>
    <t>part1</t>
  </si>
  <si>
    <t>part2</t>
  </si>
  <si>
    <t>part3</t>
  </si>
  <si>
    <t>part4</t>
  </si>
  <si>
    <t>shot
（g）</t>
  </si>
  <si>
    <t>平均值
Ave（g）</t>
  </si>
  <si>
    <t>占理论总重量百分比
Percentage of the theoretical total weight</t>
  </si>
  <si>
    <t>型腔#</t>
  </si>
  <si>
    <t>平均值
Ave （g）</t>
  </si>
  <si>
    <t>Part1</t>
  </si>
  <si>
    <t>Part2</t>
  </si>
  <si>
    <t>Part3</t>
  </si>
  <si>
    <t>Part4</t>
  </si>
  <si>
    <t>偏差
Deviation</t>
  </si>
  <si>
    <t>推荐判定标准：小于或等于3% 为OK, 当大于3% 时需要目视判断是否OK
Recommended judgment criterion: less than or equal to 3% is considered OK.</t>
  </si>
  <si>
    <t>结果判定
Result determination</t>
  </si>
  <si>
    <t>OK</t>
  </si>
  <si>
    <t>压力工艺窗口 Pressure process window</t>
  </si>
  <si>
    <t>目的（PURPOSE）
找到最佳保压压力
Find the optimal pressure-holding pressure.
试验方法(（PROCEDURE)
1.调整合适的锁模力
Adjust the appropriate clamping force.
2.只射定一段填充，设置根据粘度曲线找到的最佳射胶速度为填充速度。
Only set one stage of filling, and the optimal injection speed found based on the viscosity curve is set as the filling speed.
3.设置尽可能长的保压时间（大于浇口冻结时间）
Set the holding pressure time as long as possible (longer than the gate freezing time).
4.保压压力从低到高分别记录产品重量并观察外观情况直到产品PL披风
Record the weight of the products from low to high holding pressure and observe the appearance until the flash is appearing.
5.找到产品外观合格最低压力和最高压力窗口.
Find the minimum and maximum pressure Windows for the qualified appearance of the product
7.取最低压力和最高压力中值为最佳保压压力
Take the median of the lowest pressure and the highest pressure as the optimal holding pressure</t>
  </si>
  <si>
    <t>保压压力(Bar)
holding pressure</t>
  </si>
  <si>
    <t>保压时间(s)
holding time</t>
  </si>
  <si>
    <t>产品重量(g)
Part weight</t>
  </si>
  <si>
    <t>产品外观
part appearance</t>
  </si>
  <si>
    <t>产品缩水
shrink</t>
  </si>
  <si>
    <t>产品披风
flash</t>
  </si>
  <si>
    <t>最小压力(Bar)
Min pressure</t>
  </si>
  <si>
    <t>最大压力(Bar)
Max pressure</t>
  </si>
  <si>
    <t>推荐压力(Bar)
recommended pressure</t>
  </si>
  <si>
    <t>浇口冻结Gate freezing test</t>
  </si>
  <si>
    <t xml:space="preserve">目的（PURPOSE）
确认浇口冻结时间，确认保压时间
Confirm the freezing time of the gate and the holding pressure time
试验方法(（PROCEDURE)
1.调整合适的锁模力。
Adjust the appropriate clamping force.
2.只射定一段填充，设置根据粘度曲线找到的最佳射胶速度为填充速度。
Only set one stage of filling, and the optimal injection speed found based on the viscosity curve is set as the filling speed.
3. 只设定一段保压，设置根据压力测试得出的最佳保压压力。
Only set one stage of holding pressure and set the optimal holding pressure obtained based on the pressure test.
4.从低到高设置保压时间分别记录产品重量。
Set the holding pressure time from low to high and record the product weight respectively.
5.当产品重量不再增加时对应的时间为浇口冻结时间。
The time corresponding to when the product weight no longer increases is the gate freezing time
6.以下类型模具选择产品重量增加缓慢时对应的时间为保压时间。
 For the following types of molds, the holding pressure time is determined as the time point at which the product mass increment exhibits a significant rate reduction.
a) 注塑材料流动性非常好（如TPE，TPU等）浇口无法短时间冻结。
Molds using injection materials with high fluidity (e.g., TPE, TPU), where the gate cannot freeze within a short time.
b)热流道模具，直接浇口模具，浇口无法短时间冻结或无法冻结
Hot-runner molds or direct-gate molds, where the gate either fails to solidify within a short time or remains unfrozen entirely.
</t>
  </si>
  <si>
    <t>模次
shot</t>
  </si>
  <si>
    <t>保压时间
holding time(s)</t>
  </si>
  <si>
    <t>零件重量
Part weight(g)</t>
  </si>
  <si>
    <t>浇口冻结时间
gate freexing time(S)</t>
  </si>
  <si>
    <t>推荐保压时间
recommended holding pressure time（S）</t>
  </si>
  <si>
    <t>锁模力优化Optimization of clamping force</t>
  </si>
  <si>
    <t xml:space="preserve">目的（PURPOSE）
找到最佳锁模力
Find the optimal clamping force
试验方法(（PROCEDURE)
1.只射定一段填充，设置根据粘度曲线找到的最佳射胶速度为填充速度。
Only set one stage of filling, and the optimal injection speed found based on the viscosity curve is set as the filling speed.
2. 只设置一段保压，设置根据压力工艺窗口测试得出的最佳保压压力.
Only set one stage of holding pressure,and the optimal holding pressure is determined based on the pressure process window test.
3.设置根据浇口冻结测试找到的最佳保压时间
Set the optimal holding pressure time found based on the gate freezing test
4.不断降低锁模力分别称重记录并检查产品外观
Continuously reduce the clamping force, weigh and record respectively, and inspect the appearance of the product
4.直到产品重量发生变化并检查PL面是否产生披风
Until the product weight changes and check if appear flash on the PL surface
</t>
  </si>
  <si>
    <t>压力单位
Pressure unit</t>
  </si>
  <si>
    <t>Ton</t>
  </si>
  <si>
    <t xml:space="preserve">锁模力
clamping force
</t>
  </si>
  <si>
    <t>产品重量
Part weight
（g）</t>
  </si>
  <si>
    <t>产品外观（是否有披风)
Part appearance</t>
  </si>
  <si>
    <t>外观OK</t>
  </si>
  <si>
    <t>产品披风</t>
  </si>
  <si>
    <t>合模最大液压压力
Maximum hydraulic pressure for mold closing</t>
  </si>
  <si>
    <t>推荐锁模力(Ton)
Recommended clamping force</t>
  </si>
  <si>
    <r>
      <rPr>
        <b/>
        <sz val="36"/>
        <rFont val="等线"/>
        <charset val="134"/>
        <scheme val="minor"/>
      </rPr>
      <t xml:space="preserve">MIL INJECTION MOLD TRIAL SHOT RECORD
</t>
    </r>
    <r>
      <rPr>
        <sz val="36"/>
        <rFont val="等线"/>
        <charset val="134"/>
        <scheme val="minor"/>
      </rPr>
      <t>试模参数记录表</t>
    </r>
  </si>
  <si>
    <t xml:space="preserve">   Moldel No.:</t>
  </si>
  <si>
    <t xml:space="preserve">    Mold maker:</t>
  </si>
  <si>
    <t xml:space="preserve">  Date:</t>
  </si>
  <si>
    <t xml:space="preserve">记录编号: </t>
  </si>
  <si>
    <t>T</t>
  </si>
  <si>
    <t>M/C Set Up</t>
  </si>
  <si>
    <t>Part No.
产品编号</t>
  </si>
  <si>
    <t>Part Name
产品名称</t>
  </si>
  <si>
    <t>Tooling No.
模具编号</t>
  </si>
  <si>
    <t>Machine brand
啤机品牌</t>
  </si>
  <si>
    <t>machine Type
机器类型
(油机/电机)</t>
  </si>
  <si>
    <t>Machine Size
啤机吨位</t>
  </si>
  <si>
    <t>Screw Diameter
螺杆直径(mm)</t>
  </si>
  <si>
    <t>Max injection pressure 啤机最大注射压力</t>
  </si>
  <si>
    <t>Mpa</t>
  </si>
  <si>
    <t>Intensification Ratio
啤机增强比</t>
  </si>
  <si>
    <t>Max
Injection Speed
最大
注射速度</t>
  </si>
  <si>
    <t xml:space="preserve"> MM/S</t>
  </si>
  <si>
    <t>Material
塑料材料</t>
  </si>
  <si>
    <t>Color
颜 色</t>
  </si>
  <si>
    <t>Regrind rate
(水口比例)</t>
  </si>
  <si>
    <t>Drying Temperature                            
烤料温度</t>
  </si>
  <si>
    <t>Time (H)
烤料时间</t>
  </si>
  <si>
    <t>Max system pressure
啤机最大系统压力</t>
  </si>
  <si>
    <t xml:space="preserve"> Bar</t>
  </si>
  <si>
    <t>MoldSize(L*W*H)                模具尺寸（ mm ）</t>
  </si>
  <si>
    <t>Cavity Qty  (模穴数)</t>
  </si>
  <si>
    <t>Core Pulling            缩呵</t>
  </si>
  <si>
    <t>Hydraulic
抽呵</t>
  </si>
  <si>
    <t>Limit Switch (限位制)</t>
  </si>
  <si>
    <t>Other dry Treatment                 (特殊处理)</t>
  </si>
  <si>
    <t>Clamping Force
锁模力</t>
  </si>
  <si>
    <t>Core Pull Sequence           (抽芯顺序)</t>
  </si>
  <si>
    <t>KN</t>
  </si>
  <si>
    <t>Molding Condition</t>
  </si>
  <si>
    <t>Cylinder Temp.℃                          炮筒温度℃</t>
  </si>
  <si>
    <t>Nozzle℃
炉嘴温度℃</t>
  </si>
  <si>
    <t>1st Stage℃
一段温度℃</t>
  </si>
  <si>
    <t>℃</t>
  </si>
  <si>
    <t>2nd Stage℃
二段温度℃</t>
  </si>
  <si>
    <t>3rd Stage℃
三段温度℃</t>
  </si>
  <si>
    <t>4th Stage℃
四段温度℃</t>
  </si>
  <si>
    <t>Inj. Pressure
射胶</t>
  </si>
  <si>
    <t>1st Stage 
一段</t>
  </si>
  <si>
    <t>2nd stage 
二段</t>
  </si>
  <si>
    <t>3rd stage 
三段</t>
  </si>
  <si>
    <t>4th Stage
四段</t>
  </si>
  <si>
    <t>5th Stage
五段</t>
  </si>
  <si>
    <t>Total Inj. Time(s)
射胶时间(s)</t>
  </si>
  <si>
    <t>VP position
VP 切换位置</t>
  </si>
  <si>
    <t>Hold Pressure
保压</t>
  </si>
  <si>
    <t>Total Hold time (s)  
 总保压时间 (s)</t>
  </si>
  <si>
    <t>Inj. Pressure
射胶压力</t>
  </si>
  <si>
    <t>Hold Pressure
保压压力</t>
  </si>
  <si>
    <t>Inj. Speed
射胶速度</t>
  </si>
  <si>
    <t xml:space="preserve"> %    </t>
  </si>
  <si>
    <t>VP time
VP 切换时间</t>
  </si>
  <si>
    <t xml:space="preserve">   Hold Speed             保压速度</t>
  </si>
  <si>
    <t>MM/S</t>
  </si>
  <si>
    <t>Inj.Position             射胶位置</t>
  </si>
  <si>
    <t>Hold time (s)  
 保压时间 (s)</t>
  </si>
  <si>
    <t>Melt pressure
熔胶压力</t>
  </si>
  <si>
    <t xml:space="preserve"> 
Melt Speed
熔胶速度
</t>
  </si>
  <si>
    <t>backpressure
背压压力</t>
  </si>
  <si>
    <t>PLASTIC.STORE  熔胶终点</t>
  </si>
  <si>
    <t>Screw retraction
松退</t>
  </si>
  <si>
    <t>Cushion 残胶量</t>
  </si>
  <si>
    <t>Cooling System
setting
冷却系统设定</t>
  </si>
  <si>
    <t>Front Mold and Slides Cooling lines                        
前模/行位</t>
  </si>
  <si>
    <t xml:space="preserve"> 如（in 1==&gt; in 2==&gt; )</t>
  </si>
  <si>
    <t>Front Mold and Slides Cooling lines     
后模/行位</t>
  </si>
  <si>
    <t>Cavity Temp.℃
实测前模温度℃</t>
  </si>
  <si>
    <t>High
最高温度</t>
  </si>
  <si>
    <t>Low
最低温度</t>
  </si>
  <si>
    <t>Core Temp.℃
实测后模温度℃</t>
  </si>
  <si>
    <t>Slide Temp.℃
实测行位温度℃</t>
  </si>
  <si>
    <t>Other℃
其它(实测)</t>
  </si>
  <si>
    <t>Cooling Time(s)
冷却时间 (s)</t>
  </si>
  <si>
    <t>Cycle Time
周期时间 (s)</t>
  </si>
  <si>
    <t xml:space="preserve"> </t>
  </si>
  <si>
    <t>Hot runner Temp.℃ 
热流道温度 ℃</t>
  </si>
  <si>
    <t>GATE 1
浇口1</t>
  </si>
  <si>
    <t>GATE 2
浇口2</t>
  </si>
  <si>
    <t>GATE 3
浇口3</t>
  </si>
  <si>
    <t>GATE 4
浇口4</t>
  </si>
  <si>
    <t>GATE 5
浇口5</t>
  </si>
  <si>
    <t>GATE 6
浇口6</t>
  </si>
  <si>
    <t>GATE 7
浇口7</t>
  </si>
  <si>
    <t>GATE 8
浇口8</t>
  </si>
  <si>
    <t>Needle valve time controller
针阀时间控制器</t>
  </si>
  <si>
    <t>DELAY
延迟</t>
  </si>
  <si>
    <t>OPEN
打开</t>
  </si>
  <si>
    <t>Ejection 
顶  出</t>
  </si>
  <si>
    <t>automatic
自动</t>
  </si>
  <si>
    <t>semiautomatic
半自动</t>
  </si>
  <si>
    <t>other
其它</t>
  </si>
  <si>
    <t>Operator                   (操作人数)</t>
  </si>
  <si>
    <t>Rework
后加工</t>
  </si>
  <si>
    <t>Tooling &amp; Sample Condition</t>
  </si>
  <si>
    <t>Sample QTY
样办数量 (啤)</t>
  </si>
  <si>
    <t>Part Wt.
产品重量 g/pcs</t>
  </si>
  <si>
    <t>Runner Wt
水口重量 g/啤</t>
  </si>
  <si>
    <t>Shrinkage
缩水数</t>
  </si>
  <si>
    <t>Cosmetic (外观)</t>
  </si>
  <si>
    <t>Short Shot
缺料</t>
  </si>
  <si>
    <t>Flash
批锋</t>
  </si>
  <si>
    <t>Dark Spots
黑点</t>
  </si>
  <si>
    <t>Poor Venting     (排气不良)</t>
  </si>
  <si>
    <t>Sink Marks
缩水</t>
  </si>
  <si>
    <t>Flow Marks
流纹</t>
  </si>
  <si>
    <t>Burn Marks
烧胶</t>
  </si>
  <si>
    <t>Moisture
气纹</t>
  </si>
  <si>
    <t>Scratch
拖伤</t>
  </si>
  <si>
    <t>Sticking in Cav(粘前模)</t>
  </si>
  <si>
    <t>White Marks
顶白</t>
  </si>
  <si>
    <t>Poor Polishing
省模不够</t>
  </si>
  <si>
    <t>Weld Line
熔接线</t>
  </si>
  <si>
    <t>sticking in Core
粘后模</t>
  </si>
  <si>
    <t>Crack
裂缝</t>
  </si>
  <si>
    <t>Deformation (变形)</t>
  </si>
  <si>
    <t>Cavity Marking
模号标示</t>
  </si>
  <si>
    <t>Mterial mark   材料标识</t>
  </si>
  <si>
    <t>P/N mark      产品编号标识</t>
  </si>
  <si>
    <t>Not balanced injection flow.    走胶不平衡</t>
  </si>
  <si>
    <t>Tooling performance  模具动作</t>
  </si>
  <si>
    <t>Guide pin move smoothly? 导柱是否顺畅?</t>
  </si>
  <si>
    <t>Ejector move smoothly? 顶针是否顺畅?</t>
  </si>
  <si>
    <t>Cooling water leakage? 运水是否泄露?</t>
  </si>
  <si>
    <t>Is the mold temperature average?
模具温度是否平均</t>
  </si>
  <si>
    <t>Other Defect description     (其他模具缺陷描述)</t>
  </si>
  <si>
    <t>Production condition</t>
  </si>
  <si>
    <t>Tooling structure &amp; performance  模具结构和动作:</t>
  </si>
  <si>
    <t>Accept</t>
  </si>
  <si>
    <t>RejectComments:</t>
  </si>
  <si>
    <t>Quality of parts      产品质量</t>
  </si>
  <si>
    <t>Jig Fixture:</t>
  </si>
  <si>
    <t>STD  M/C :    Ton</t>
  </si>
  <si>
    <t>Act.  M/C:Ton</t>
  </si>
  <si>
    <t>Remark:  
  1. 新project试模, 水口比例应与生产状态标准比例相同.
  2. 产品重量需要去除五金或其他insert 的重量, 硬/软胶重量分开
  3. 产品重量，水口重量严格遵从实际样板重量（精确到小数点后一位）.
  4. 周期/顿位超Spec: 提供详细解释说明+不同参数的样板评估确认.
  5:油机压力单位为bar /电机压力单位为MPa) 1Bar≈14.5psi=0.1MPa
  6.油机速度单位为%/电机速度单位为mm/s</t>
  </si>
  <si>
    <t>STD Cycle:  Sec.</t>
  </si>
  <si>
    <t>Act. Cycle:Sec.</t>
  </si>
  <si>
    <t>Tooling Vendor</t>
  </si>
  <si>
    <t>TTI Tooling Group</t>
  </si>
  <si>
    <t>Prepared By:</t>
  </si>
  <si>
    <t>Approval By:</t>
  </si>
  <si>
    <t>From No: TGF0004B</t>
  </si>
  <si>
    <t xml:space="preserve">                  Version:TG-MTR- 03</t>
  </si>
  <si>
    <t>传感器基准曲线 Sensor Benchmark Curve</t>
  </si>
  <si>
    <t>Sensor基准曲线</t>
  </si>
  <si>
    <t>Sensor分布</t>
  </si>
  <si>
    <t>结果判定：Sensor曲线正常，压力合理，连续注塑曲线波动在5%以内
Result determination: The Sensor curve is normal, the pressure is reasonable, and the fluctuation of the continuous injection molding curve is within 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</si>
</sst>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s>
  <fonts count="68">
    <font>
      <sz val="11"/>
      <color theme="1"/>
      <name val="等线"/>
      <charset val="134"/>
      <scheme val="minor"/>
    </font>
    <font>
      <sz val="22"/>
      <color theme="1"/>
      <name val="等线"/>
      <charset val="134"/>
      <scheme val="minor"/>
    </font>
    <font>
      <b/>
      <sz val="14"/>
      <color theme="1"/>
      <name val="等线"/>
      <charset val="134"/>
      <scheme val="minor"/>
    </font>
    <font>
      <sz val="12"/>
      <color theme="1"/>
      <name val="等线"/>
      <charset val="134"/>
      <scheme val="minor"/>
    </font>
    <font>
      <sz val="12"/>
      <name val="等线"/>
      <charset val="134"/>
      <scheme val="minor"/>
    </font>
    <font>
      <b/>
      <sz val="36"/>
      <name val="等线"/>
      <charset val="134"/>
      <scheme val="minor"/>
    </font>
    <font>
      <b/>
      <sz val="18"/>
      <name val="等线"/>
      <charset val="134"/>
      <scheme val="minor"/>
    </font>
    <font>
      <b/>
      <sz val="16"/>
      <name val="等线"/>
      <charset val="134"/>
      <scheme val="minor"/>
    </font>
    <font>
      <b/>
      <sz val="20"/>
      <name val="等线"/>
      <charset val="134"/>
      <scheme val="minor"/>
    </font>
    <font>
      <b/>
      <sz val="14"/>
      <name val="等线"/>
      <charset val="134"/>
      <scheme val="minor"/>
    </font>
    <font>
      <b/>
      <sz val="14"/>
      <color indexed="12"/>
      <name val="等线"/>
      <charset val="134"/>
      <scheme val="minor"/>
    </font>
    <font>
      <b/>
      <sz val="14"/>
      <color indexed="8"/>
      <name val="等线"/>
      <charset val="134"/>
      <scheme val="minor"/>
    </font>
    <font>
      <b/>
      <sz val="12"/>
      <name val="等线"/>
      <charset val="134"/>
      <scheme val="minor"/>
    </font>
    <font>
      <b/>
      <sz val="14"/>
      <color rgb="FFFF0000"/>
      <name val="等线"/>
      <charset val="134"/>
      <scheme val="minor"/>
    </font>
    <font>
      <sz val="18"/>
      <color theme="1"/>
      <name val="等线"/>
      <charset val="134"/>
      <scheme val="minor"/>
    </font>
    <font>
      <sz val="14"/>
      <name val="等线"/>
      <charset val="134"/>
      <scheme val="minor"/>
    </font>
    <font>
      <sz val="10"/>
      <color theme="1"/>
      <name val="等线"/>
      <charset val="134"/>
      <scheme val="minor"/>
    </font>
    <font>
      <b/>
      <sz val="10"/>
      <color rgb="FF000000"/>
      <name val="等线 Light"/>
      <charset val="134"/>
      <scheme val="major"/>
    </font>
    <font>
      <sz val="10"/>
      <color rgb="FF000000"/>
      <name val="等线 Light"/>
      <charset val="134"/>
      <scheme val="major"/>
    </font>
    <font>
      <sz val="8"/>
      <color theme="1"/>
      <name val="等线"/>
      <charset val="134"/>
      <scheme val="minor"/>
    </font>
    <font>
      <b/>
      <sz val="11"/>
      <color rgb="FF000000"/>
      <name val="等线 Light"/>
      <charset val="134"/>
      <scheme val="major"/>
    </font>
    <font>
      <sz val="11"/>
      <color rgb="FF000000"/>
      <name val="Arial"/>
      <charset val="134"/>
    </font>
    <font>
      <sz val="11"/>
      <name val="Arial"/>
      <charset val="134"/>
    </font>
    <font>
      <sz val="10"/>
      <name val="Arial"/>
      <charset val="134"/>
    </font>
    <font>
      <b/>
      <sz val="12"/>
      <color theme="1"/>
      <name val="等线"/>
      <charset val="134"/>
      <scheme val="minor"/>
    </font>
    <font>
      <sz val="9"/>
      <color theme="1"/>
      <name val="等线"/>
      <charset val="134"/>
      <scheme val="minor"/>
    </font>
    <font>
      <b/>
      <sz val="10"/>
      <color theme="1"/>
      <name val="等线"/>
      <charset val="134"/>
      <scheme val="minor"/>
    </font>
    <font>
      <sz val="10"/>
      <name val="等线 Light"/>
      <charset val="134"/>
      <scheme val="major"/>
    </font>
    <font>
      <sz val="11"/>
      <name val="等线 Light"/>
      <charset val="134"/>
      <scheme val="major"/>
    </font>
    <font>
      <sz val="11"/>
      <color rgb="FF000000"/>
      <name val="等线 Light"/>
      <charset val="134"/>
      <scheme val="major"/>
    </font>
    <font>
      <b/>
      <sz val="9"/>
      <color rgb="FF000000"/>
      <name val="等线 Light"/>
      <charset val="134"/>
      <scheme val="major"/>
    </font>
    <font>
      <sz val="7"/>
      <color theme="1"/>
      <name val="等线"/>
      <charset val="134"/>
      <scheme val="minor"/>
    </font>
    <font>
      <sz val="9"/>
      <name val="Arial"/>
      <charset val="134"/>
    </font>
    <font>
      <sz val="9"/>
      <name val="等线 Light"/>
      <charset val="134"/>
      <scheme val="major"/>
    </font>
    <font>
      <sz val="24"/>
      <color theme="1"/>
      <name val="等线"/>
      <charset val="134"/>
      <scheme val="minor"/>
    </font>
    <font>
      <b/>
      <sz val="11"/>
      <color theme="1"/>
      <name val="等线 Light"/>
      <charset val="134"/>
      <scheme val="major"/>
    </font>
    <font>
      <sz val="16"/>
      <color theme="1"/>
      <name val="等线"/>
      <charset val="134"/>
      <scheme val="minor"/>
    </font>
    <font>
      <b/>
      <sz val="9"/>
      <color theme="1"/>
      <name val="等线"/>
      <charset val="134"/>
      <scheme val="minor"/>
    </font>
    <font>
      <sz val="10"/>
      <color rgb="FF000000"/>
      <name val="Arial"/>
      <charset val="134"/>
    </font>
    <font>
      <b/>
      <sz val="11"/>
      <name val="等线"/>
      <charset val="134"/>
      <scheme val="minor"/>
    </font>
    <font>
      <b/>
      <sz val="22"/>
      <color theme="1"/>
      <name val="等线"/>
      <charset val="134"/>
      <scheme val="minor"/>
    </font>
    <font>
      <b/>
      <sz val="11"/>
      <color theme="1"/>
      <name val="等线"/>
      <charset val="134"/>
      <scheme val="minor"/>
    </font>
    <font>
      <b/>
      <sz val="8"/>
      <color theme="1"/>
      <name val="等线"/>
      <charset val="134"/>
      <scheme val="minor"/>
    </font>
    <font>
      <sz val="9"/>
      <color theme="1"/>
      <name val="等线"/>
      <charset val="134"/>
      <scheme val="minor"/>
    </font>
    <font>
      <sz val="9"/>
      <color rgb="FF404040"/>
      <name val="Segoe UI"/>
      <charset val="134"/>
    </font>
    <font>
      <sz val="14"/>
      <color theme="1"/>
      <name val="等线"/>
      <charset val="134"/>
      <scheme val="minor"/>
    </font>
    <font>
      <sz val="26"/>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36"/>
      <name val="等线"/>
      <charset val="134"/>
      <scheme val="minor"/>
    </font>
  </fonts>
  <fills count="46">
    <fill>
      <patternFill patternType="none"/>
    </fill>
    <fill>
      <patternFill patternType="gray125"/>
    </fill>
    <fill>
      <patternFill patternType="solid">
        <fgColor theme="0"/>
        <bgColor indexed="64"/>
      </patternFill>
    </fill>
    <fill>
      <patternFill patternType="solid">
        <fgColor theme="3" tint="0.799981688894314"/>
        <bgColor indexed="64"/>
      </patternFill>
    </fill>
    <fill>
      <patternFill patternType="solid">
        <fgColor rgb="FFFFFF00"/>
        <bgColor indexed="64"/>
      </patternFill>
    </fill>
    <fill>
      <patternFill patternType="solid">
        <fgColor rgb="FFFF0000"/>
        <bgColor indexed="64"/>
      </patternFill>
    </fill>
    <fill>
      <patternFill patternType="solid">
        <fgColor theme="9" tint="-0.249977111117893"/>
        <bgColor indexed="64"/>
      </patternFill>
    </fill>
    <fill>
      <patternFill patternType="solid">
        <fgColor theme="6" tint="0.799981688894314"/>
        <bgColor indexed="64"/>
      </patternFill>
    </fill>
    <fill>
      <patternFill patternType="solid">
        <fgColor theme="2" tint="-0.249977111117893"/>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7" fillId="0" borderId="0" applyFont="0" applyFill="0" applyBorder="0" applyAlignment="0" applyProtection="0">
      <alignment vertical="center"/>
    </xf>
    <xf numFmtId="44" fontId="47" fillId="0" borderId="0" applyFont="0" applyFill="0" applyBorder="0" applyAlignment="0" applyProtection="0">
      <alignment vertical="center"/>
    </xf>
    <xf numFmtId="9" fontId="47" fillId="0" borderId="0" applyFont="0" applyFill="0" applyBorder="0" applyAlignment="0" applyProtection="0">
      <alignment vertical="center"/>
    </xf>
    <xf numFmtId="41" fontId="47" fillId="0" borderId="0" applyFont="0" applyFill="0" applyBorder="0" applyAlignment="0" applyProtection="0">
      <alignment vertical="center"/>
    </xf>
    <xf numFmtId="42" fontId="47"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15" borderId="16"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17" applyNumberFormat="0" applyFill="0" applyAlignment="0" applyProtection="0">
      <alignment vertical="center"/>
    </xf>
    <xf numFmtId="0" fontId="54" fillId="0" borderId="17" applyNumberFormat="0" applyFill="0" applyAlignment="0" applyProtection="0">
      <alignment vertical="center"/>
    </xf>
    <xf numFmtId="0" fontId="55" fillId="0" borderId="18" applyNumberFormat="0" applyFill="0" applyAlignment="0" applyProtection="0">
      <alignment vertical="center"/>
    </xf>
    <xf numFmtId="0" fontId="55" fillId="0" borderId="0" applyNumberFormat="0" applyFill="0" applyBorder="0" applyAlignment="0" applyProtection="0">
      <alignment vertical="center"/>
    </xf>
    <xf numFmtId="0" fontId="56" fillId="16" borderId="19" applyNumberFormat="0" applyAlignment="0" applyProtection="0">
      <alignment vertical="center"/>
    </xf>
    <xf numFmtId="0" fontId="57" fillId="17" borderId="20" applyNumberFormat="0" applyAlignment="0" applyProtection="0">
      <alignment vertical="center"/>
    </xf>
    <xf numFmtId="0" fontId="58" fillId="17" borderId="19" applyNumberFormat="0" applyAlignment="0" applyProtection="0">
      <alignment vertical="center"/>
    </xf>
    <xf numFmtId="0" fontId="59" fillId="18" borderId="21" applyNumberFormat="0" applyAlignment="0" applyProtection="0">
      <alignment vertical="center"/>
    </xf>
    <xf numFmtId="0" fontId="60" fillId="0" borderId="22" applyNumberFormat="0" applyFill="0" applyAlignment="0" applyProtection="0">
      <alignment vertical="center"/>
    </xf>
    <xf numFmtId="0" fontId="61" fillId="0" borderId="23" applyNumberFormat="0" applyFill="0" applyAlignment="0" applyProtection="0">
      <alignment vertical="center"/>
    </xf>
    <xf numFmtId="0" fontId="62" fillId="19" borderId="0" applyNumberFormat="0" applyBorder="0" applyAlignment="0" applyProtection="0">
      <alignment vertical="center"/>
    </xf>
    <xf numFmtId="0" fontId="63" fillId="20" borderId="0" applyNumberFormat="0" applyBorder="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5" fillId="25" borderId="0" applyNumberFormat="0" applyBorder="0" applyAlignment="0" applyProtection="0">
      <alignment vertical="center"/>
    </xf>
    <xf numFmtId="0" fontId="65" fillId="26"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5"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33" borderId="0" applyNumberFormat="0" applyBorder="0" applyAlignment="0" applyProtection="0">
      <alignment vertical="center"/>
    </xf>
    <xf numFmtId="0" fontId="65" fillId="34" borderId="0" applyNumberFormat="0" applyBorder="0" applyAlignment="0" applyProtection="0">
      <alignment vertical="center"/>
    </xf>
    <xf numFmtId="0" fontId="66" fillId="35" borderId="0" applyNumberFormat="0" applyBorder="0" applyAlignment="0" applyProtection="0">
      <alignment vertical="center"/>
    </xf>
    <xf numFmtId="0" fontId="66" fillId="36" borderId="0" applyNumberFormat="0" applyBorder="0" applyAlignment="0" applyProtection="0">
      <alignment vertical="center"/>
    </xf>
    <xf numFmtId="0" fontId="65" fillId="37" borderId="0" applyNumberFormat="0" applyBorder="0" applyAlignment="0" applyProtection="0">
      <alignment vertical="center"/>
    </xf>
    <xf numFmtId="0" fontId="65" fillId="38" borderId="0" applyNumberFormat="0" applyBorder="0" applyAlignment="0" applyProtection="0">
      <alignment vertical="center"/>
    </xf>
    <xf numFmtId="0" fontId="66" fillId="39" borderId="0" applyNumberFormat="0" applyBorder="0" applyAlignment="0" applyProtection="0">
      <alignment vertical="center"/>
    </xf>
    <xf numFmtId="0" fontId="66" fillId="40"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6" fillId="43" borderId="0" applyNumberFormat="0" applyBorder="0" applyAlignment="0" applyProtection="0">
      <alignment vertical="center"/>
    </xf>
    <xf numFmtId="0" fontId="66" fillId="44" borderId="0" applyNumberFormat="0" applyBorder="0" applyAlignment="0" applyProtection="0">
      <alignment vertical="center"/>
    </xf>
    <xf numFmtId="0" fontId="65" fillId="45" borderId="0" applyNumberFormat="0" applyBorder="0" applyAlignment="0" applyProtection="0">
      <alignment vertical="center"/>
    </xf>
  </cellStyleXfs>
  <cellXfs count="354">
    <xf numFmtId="0" fontId="0" fillId="0" borderId="0" xfId="0"/>
    <xf numFmtId="0" fontId="1" fillId="0" borderId="1" xfId="0" applyFont="1" applyBorder="1" applyAlignment="1">
      <alignment horizontal="center"/>
    </xf>
    <xf numFmtId="0" fontId="0" fillId="0" borderId="2" xfId="0" applyBorder="1" applyAlignment="1">
      <alignment horizontal="center"/>
    </xf>
    <xf numFmtId="0" fontId="2" fillId="0" borderId="3" xfId="0" applyFont="1" applyBorder="1" applyAlignment="1">
      <alignment horizontal="left"/>
    </xf>
    <xf numFmtId="0" fontId="0" fillId="2" borderId="0" xfId="0" applyFill="1"/>
    <xf numFmtId="0" fontId="2" fillId="2" borderId="0" xfId="0" applyFont="1" applyFill="1" applyAlignment="1">
      <alignment horizontal="left" vertical="top"/>
    </xf>
    <xf numFmtId="0" fontId="2" fillId="0" borderId="0" xfId="0" applyFont="1" applyAlignment="1">
      <alignment horizontal="left" vertical="top"/>
    </xf>
    <xf numFmtId="0" fontId="0" fillId="2" borderId="0" xfId="0" applyFill="1" applyAlignment="1">
      <alignment horizontal="left" vertical="center"/>
    </xf>
    <xf numFmtId="0" fontId="3" fillId="2" borderId="3" xfId="0" applyFont="1" applyFill="1" applyBorder="1" applyAlignment="1">
      <alignment horizontal="left" vertical="top" wrapText="1"/>
    </xf>
    <xf numFmtId="0" fontId="3" fillId="2" borderId="3" xfId="0" applyFont="1" applyFill="1" applyBorder="1" applyAlignment="1">
      <alignment horizontal="left" vertical="top"/>
    </xf>
    <xf numFmtId="0" fontId="4" fillId="0" borderId="0" xfId="0" applyFont="1" applyAlignment="1">
      <alignment vertical="center" wrapText="1"/>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horizontal="left" vertical="center" wrapText="1"/>
    </xf>
    <xf numFmtId="0" fontId="8" fillId="3" borderId="4" xfId="0" applyFont="1" applyFill="1" applyBorder="1" applyAlignment="1">
      <alignment horizontal="center" vertical="center" textRotation="90"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 xfId="0" applyFont="1" applyBorder="1" applyAlignment="1">
      <alignment horizontal="center" vertical="center" wrapText="1"/>
    </xf>
    <xf numFmtId="0" fontId="12" fillId="4" borderId="4" xfId="0" applyFont="1" applyFill="1" applyBorder="1" applyAlignment="1">
      <alignment vertical="center" wrapText="1"/>
    </xf>
    <xf numFmtId="0" fontId="9" fillId="4"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0" fillId="0" borderId="5" xfId="0" applyFont="1" applyBorder="1" applyAlignment="1">
      <alignment horizontal="center" vertical="center" wrapText="1"/>
    </xf>
    <xf numFmtId="0" fontId="9" fillId="5" borderId="4" xfId="0" applyFont="1" applyFill="1" applyBorder="1" applyAlignment="1">
      <alignment horizontal="center" vertical="center" wrapText="1"/>
    </xf>
    <xf numFmtId="0" fontId="11" fillId="0" borderId="4" xfId="0" applyFont="1" applyBorder="1" applyAlignment="1">
      <alignment vertical="center" wrapText="1"/>
    </xf>
    <xf numFmtId="0" fontId="9" fillId="0" borderId="2" xfId="0" applyFont="1" applyBorder="1" applyAlignment="1">
      <alignment vertical="center" wrapText="1"/>
    </xf>
    <xf numFmtId="2" fontId="9" fillId="3" borderId="4" xfId="0" applyNumberFormat="1"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9" fillId="6" borderId="4" xfId="0" applyFont="1" applyFill="1" applyBorder="1" applyAlignment="1">
      <alignment horizontal="center" vertical="center" wrapText="1"/>
    </xf>
    <xf numFmtId="0" fontId="7" fillId="7" borderId="4" xfId="0" applyFont="1" applyFill="1" applyBorder="1" applyAlignment="1">
      <alignment horizontal="center" vertical="center" textRotation="90" wrapText="1"/>
    </xf>
    <xf numFmtId="0" fontId="13" fillId="0" borderId="4" xfId="0" applyFont="1" applyBorder="1" applyAlignment="1">
      <alignment horizontal="center" vertical="center" wrapText="1"/>
    </xf>
    <xf numFmtId="0" fontId="9"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4" xfId="0" applyFont="1" applyFill="1" applyBorder="1" applyAlignment="1">
      <alignment vertical="center" wrapText="1"/>
    </xf>
    <xf numFmtId="0" fontId="9" fillId="9" borderId="7"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9" fillId="10" borderId="4" xfId="0" applyFont="1" applyFill="1" applyBorder="1" applyAlignment="1">
      <alignment vertical="center" wrapText="1"/>
    </xf>
    <xf numFmtId="0" fontId="9" fillId="10" borderId="8"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0" borderId="13" xfId="0" applyFont="1" applyFill="1" applyBorder="1" applyAlignment="1">
      <alignment horizontal="center" vertical="center" wrapText="1"/>
    </xf>
    <xf numFmtId="0" fontId="9" fillId="10" borderId="14" xfId="0" applyFont="1" applyFill="1" applyBorder="1" applyAlignment="1">
      <alignment horizontal="center" vertical="center" wrapText="1"/>
    </xf>
    <xf numFmtId="9" fontId="9" fillId="8" borderId="4" xfId="0" applyNumberFormat="1" applyFont="1" applyFill="1" applyBorder="1" applyAlignment="1">
      <alignment vertical="center" wrapText="1"/>
    </xf>
    <xf numFmtId="0" fontId="9" fillId="9" borderId="12" xfId="0" applyFont="1" applyFill="1" applyBorder="1" applyAlignment="1">
      <alignment horizontal="center" vertical="center" wrapText="1"/>
    </xf>
    <xf numFmtId="0" fontId="13" fillId="8" borderId="4" xfId="0" applyFont="1" applyFill="1" applyBorder="1" applyAlignment="1">
      <alignment vertical="center" wrapText="1"/>
    </xf>
    <xf numFmtId="0" fontId="9" fillId="10" borderId="10" xfId="0" applyFont="1" applyFill="1" applyBorder="1" applyAlignment="1">
      <alignment horizontal="center" vertical="center" wrapText="1"/>
    </xf>
    <xf numFmtId="0" fontId="9" fillId="10" borderId="15" xfId="0" applyFont="1" applyFill="1" applyBorder="1" applyAlignment="1">
      <alignment horizontal="center" vertical="center" wrapText="1"/>
    </xf>
    <xf numFmtId="0" fontId="9" fillId="4" borderId="4" xfId="0" applyFont="1" applyFill="1" applyBorder="1" applyAlignment="1">
      <alignment vertical="center" wrapText="1"/>
    </xf>
    <xf numFmtId="0" fontId="9" fillId="11" borderId="4" xfId="0" applyFont="1" applyFill="1" applyBorder="1" applyAlignment="1">
      <alignment horizontal="center" vertical="center" wrapText="1"/>
    </xf>
    <xf numFmtId="0" fontId="9" fillId="11" borderId="4" xfId="0" applyFont="1" applyFill="1" applyBorder="1" applyAlignment="1">
      <alignment horizontal="right" vertical="center" wrapText="1"/>
    </xf>
    <xf numFmtId="0" fontId="13" fillId="11" borderId="4"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9" fillId="11" borderId="8"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9" fillId="11" borderId="14" xfId="0" applyFont="1" applyFill="1" applyBorder="1" applyAlignment="1">
      <alignment horizontal="center" vertical="center" wrapText="1"/>
    </xf>
    <xf numFmtId="0" fontId="9" fillId="11" borderId="10" xfId="0" applyFont="1" applyFill="1" applyBorder="1" applyAlignment="1">
      <alignment horizontal="center" vertical="center" wrapText="1"/>
    </xf>
    <xf numFmtId="0" fontId="9" fillId="11" borderId="15"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9" fillId="12" borderId="11"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4" xfId="0" applyFont="1" applyFill="1" applyBorder="1" applyAlignment="1">
      <alignment vertical="center" wrapText="1"/>
    </xf>
    <xf numFmtId="0" fontId="9" fillId="12" borderId="9" xfId="0" applyFont="1" applyFill="1" applyBorder="1" applyAlignment="1">
      <alignment horizontal="center" vertical="center" wrapText="1"/>
    </xf>
    <xf numFmtId="0" fontId="9" fillId="12" borderId="10" xfId="0" applyFont="1" applyFill="1" applyBorder="1" applyAlignment="1">
      <alignment horizontal="center" vertical="center" wrapText="1"/>
    </xf>
    <xf numFmtId="0" fontId="9" fillId="12" borderId="15"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5" xfId="0" applyFont="1" applyBorder="1" applyAlignment="1">
      <alignment horizontal="center" vertical="center" wrapText="1"/>
    </xf>
    <xf numFmtId="0" fontId="7" fillId="13" borderId="4" xfId="0" applyFont="1" applyFill="1" applyBorder="1" applyAlignment="1">
      <alignment horizontal="center" vertical="center" textRotation="90" wrapText="1"/>
    </xf>
    <xf numFmtId="0" fontId="11" fillId="0" borderId="6"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7" fillId="14" borderId="4" xfId="0" applyFont="1" applyFill="1" applyBorder="1" applyAlignment="1">
      <alignment horizontal="center" vertical="center" textRotation="90" wrapText="1"/>
    </xf>
    <xf numFmtId="0" fontId="9" fillId="0" borderId="4" xfId="0" applyFont="1" applyBorder="1" applyAlignment="1">
      <alignment horizontal="right" vertical="center" wrapText="1"/>
    </xf>
    <xf numFmtId="0" fontId="9" fillId="0" borderId="5" xfId="0" applyFont="1" applyBorder="1" applyAlignment="1">
      <alignment horizontal="right" vertical="center" wrapText="1"/>
    </xf>
    <xf numFmtId="0" fontId="9" fillId="0" borderId="6" xfId="0" applyFont="1" applyBorder="1" applyAlignment="1">
      <alignment horizontal="right" vertical="center" wrapText="1"/>
    </xf>
    <xf numFmtId="0" fontId="9" fillId="0" borderId="1" xfId="0" applyFont="1" applyBorder="1" applyAlignment="1">
      <alignment horizontal="center" vertical="center" wrapText="1"/>
    </xf>
    <xf numFmtId="0" fontId="14" fillId="0" borderId="8" xfId="0" applyFont="1" applyBorder="1" applyAlignment="1">
      <alignment horizontal="left" vertical="top" wrapText="1"/>
    </xf>
    <xf numFmtId="0" fontId="3" fillId="0" borderId="3" xfId="0" applyFont="1" applyBorder="1" applyAlignment="1">
      <alignment horizontal="left" vertical="top" wrapText="1"/>
    </xf>
    <xf numFmtId="0" fontId="3" fillId="0" borderId="11" xfId="0" applyFont="1" applyBorder="1" applyAlignment="1">
      <alignment horizontal="left" vertical="top" wrapText="1"/>
    </xf>
    <xf numFmtId="0" fontId="15" fillId="0" borderId="5"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3" fillId="0" borderId="13" xfId="0" applyFont="1" applyBorder="1" applyAlignment="1">
      <alignment horizontal="left" vertical="top" wrapText="1"/>
    </xf>
    <xf numFmtId="0" fontId="3" fillId="0" borderId="0" xfId="0" applyFont="1" applyAlignment="1">
      <alignment horizontal="left" vertical="top" wrapText="1"/>
    </xf>
    <xf numFmtId="0" fontId="3" fillId="0" borderId="14" xfId="0" applyFont="1" applyBorder="1" applyAlignment="1">
      <alignment horizontal="left" vertical="top" wrapText="1"/>
    </xf>
    <xf numFmtId="0" fontId="9" fillId="0" borderId="4" xfId="0" applyFont="1" applyBorder="1" applyAlignment="1">
      <alignment vertical="center" wrapText="1"/>
    </xf>
    <xf numFmtId="0" fontId="3" fillId="0" borderId="10" xfId="0" applyFont="1" applyBorder="1" applyAlignment="1">
      <alignment horizontal="left" vertical="top" wrapText="1"/>
    </xf>
    <xf numFmtId="0" fontId="3" fillId="0" borderId="1" xfId="0" applyFont="1" applyBorder="1" applyAlignment="1">
      <alignment horizontal="left" vertical="top" wrapText="1"/>
    </xf>
    <xf numFmtId="0" fontId="3" fillId="0" borderId="15" xfId="0" applyFont="1" applyBorder="1" applyAlignment="1">
      <alignment horizontal="left" vertical="top" wrapText="1"/>
    </xf>
    <xf numFmtId="0" fontId="9" fillId="0" borderId="4" xfId="0" applyFont="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vertical="center"/>
    </xf>
    <xf numFmtId="0" fontId="16" fillId="0" borderId="3" xfId="0" applyFont="1" applyBorder="1" applyAlignment="1">
      <alignment horizontal="left" vertical="top" wrapText="1"/>
    </xf>
    <xf numFmtId="0" fontId="0" fillId="0" borderId="3" xfId="0" applyBorder="1" applyAlignment="1">
      <alignment horizontal="left" vertical="top"/>
    </xf>
    <xf numFmtId="0" fontId="0" fillId="0" borderId="0" xfId="0" applyAlignment="1">
      <alignment horizontal="left" vertical="top"/>
    </xf>
    <xf numFmtId="0" fontId="0" fillId="0" borderId="4" xfId="0" applyBorder="1" applyAlignment="1">
      <alignment horizontal="center" vertical="center" wrapText="1"/>
    </xf>
    <xf numFmtId="0" fontId="0" fillId="0" borderId="4" xfId="0" applyBorder="1" applyAlignment="1">
      <alignment horizontal="center" vertical="center"/>
    </xf>
    <xf numFmtId="0" fontId="0" fillId="2" borderId="0" xfId="0" applyFill="1" applyAlignment="1">
      <alignment horizontal="left" vertical="top"/>
    </xf>
    <xf numFmtId="0" fontId="17" fillId="2" borderId="4" xfId="0" applyFont="1" applyFill="1" applyBorder="1" applyAlignment="1">
      <alignment horizontal="center" vertical="center" wrapText="1" readingOrder="1"/>
    </xf>
    <xf numFmtId="0" fontId="17" fillId="2" borderId="4" xfId="0" applyFont="1" applyFill="1" applyBorder="1" applyAlignment="1">
      <alignment horizontal="center" vertical="top" wrapText="1" readingOrder="1"/>
    </xf>
    <xf numFmtId="0" fontId="18" fillId="2" borderId="4" xfId="0" applyFont="1" applyFill="1" applyBorder="1" applyAlignment="1">
      <alignment horizontal="center" vertical="center" wrapText="1" readingOrder="1"/>
    </xf>
    <xf numFmtId="0" fontId="0" fillId="2" borderId="4" xfId="0" applyFill="1" applyBorder="1" applyAlignment="1">
      <alignment horizontal="center"/>
    </xf>
    <xf numFmtId="0" fontId="0" fillId="2" borderId="0" xfId="0" applyFill="1" applyAlignment="1">
      <alignment horizontal="center"/>
    </xf>
    <xf numFmtId="0" fontId="19" fillId="0" borderId="4" xfId="0" applyFont="1" applyBorder="1" applyAlignment="1">
      <alignment horizontal="center" vertical="center" wrapText="1"/>
    </xf>
    <xf numFmtId="0" fontId="19" fillId="2" borderId="4" xfId="0" applyFont="1" applyFill="1" applyBorder="1" applyAlignment="1">
      <alignment horizontal="center" vertical="center" wrapText="1"/>
    </xf>
    <xf numFmtId="1" fontId="16" fillId="2" borderId="4" xfId="0" applyNumberFormat="1" applyFont="1" applyFill="1" applyBorder="1" applyAlignment="1">
      <alignment horizontal="center" vertical="center"/>
    </xf>
    <xf numFmtId="0" fontId="1" fillId="0" borderId="2" xfId="0" applyFont="1" applyBorder="1" applyAlignment="1">
      <alignment horizontal="center"/>
    </xf>
    <xf numFmtId="0" fontId="16" fillId="0" borderId="3" xfId="0" applyFont="1" applyBorder="1" applyAlignment="1">
      <alignment horizontal="left" vertical="top"/>
    </xf>
    <xf numFmtId="0" fontId="16" fillId="0" borderId="0" xfId="0" applyFont="1" applyAlignment="1">
      <alignment horizontal="left" vertical="top"/>
    </xf>
    <xf numFmtId="0" fontId="20" fillId="2" borderId="4" xfId="0" applyFont="1" applyFill="1" applyBorder="1" applyAlignment="1">
      <alignment horizontal="center" vertical="center" wrapText="1" readingOrder="1"/>
    </xf>
    <xf numFmtId="0" fontId="21" fillId="2" borderId="4" xfId="0" applyFont="1" applyFill="1" applyBorder="1" applyAlignment="1">
      <alignment horizontal="center" vertical="center" wrapText="1" readingOrder="1"/>
    </xf>
    <xf numFmtId="0" fontId="22" fillId="2" borderId="4"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16" fillId="0" borderId="1" xfId="0" applyFont="1" applyBorder="1" applyAlignment="1">
      <alignment horizontal="left" vertical="top"/>
    </xf>
    <xf numFmtId="0" fontId="16" fillId="2" borderId="4" xfId="0" applyFont="1" applyFill="1" applyBorder="1" applyAlignment="1">
      <alignment horizontal="center" vertical="center" wrapText="1"/>
    </xf>
    <xf numFmtId="0" fontId="0" fillId="2" borderId="4" xfId="0" applyFill="1" applyBorder="1" applyAlignment="1">
      <alignment horizontal="center" wrapText="1"/>
    </xf>
    <xf numFmtId="0" fontId="16" fillId="2" borderId="4" xfId="0" applyFont="1" applyFill="1" applyBorder="1" applyAlignment="1">
      <alignment horizontal="center" vertical="center"/>
    </xf>
    <xf numFmtId="0" fontId="24" fillId="2" borderId="3" xfId="0" applyFont="1" applyFill="1" applyBorder="1" applyAlignment="1">
      <alignment horizontal="left" vertical="top"/>
    </xf>
    <xf numFmtId="0" fontId="25" fillId="2" borderId="4" xfId="0" applyFont="1" applyFill="1" applyBorder="1" applyAlignment="1">
      <alignment horizontal="left" vertical="top" wrapText="1"/>
    </xf>
    <xf numFmtId="0" fontId="16" fillId="2" borderId="4" xfId="0" applyFont="1" applyFill="1" applyBorder="1" applyAlignment="1">
      <alignment horizontal="left" vertical="top" wrapText="1"/>
    </xf>
    <xf numFmtId="0" fontId="26" fillId="2" borderId="5" xfId="0" applyFont="1" applyFill="1" applyBorder="1" applyAlignment="1">
      <alignment horizontal="center" wrapText="1"/>
    </xf>
    <xf numFmtId="0" fontId="26" fillId="2" borderId="2" xfId="0" applyFont="1" applyFill="1" applyBorder="1" applyAlignment="1">
      <alignment horizontal="center" wrapText="1"/>
    </xf>
    <xf numFmtId="0" fontId="26" fillId="2" borderId="6" xfId="0" applyFont="1" applyFill="1" applyBorder="1" applyAlignment="1">
      <alignment horizontal="center" wrapText="1"/>
    </xf>
    <xf numFmtId="0" fontId="16" fillId="2" borderId="3" xfId="0" applyFont="1" applyFill="1" applyBorder="1" applyAlignment="1">
      <alignment horizontal="center" vertical="top" wrapText="1"/>
    </xf>
    <xf numFmtId="0" fontId="26" fillId="2" borderId="2" xfId="0" applyFont="1" applyFill="1" applyBorder="1" applyAlignment="1">
      <alignment horizontal="center"/>
    </xf>
    <xf numFmtId="0" fontId="26" fillId="2" borderId="6" xfId="0" applyFont="1" applyFill="1" applyBorder="1" applyAlignment="1">
      <alignment horizontal="center"/>
    </xf>
    <xf numFmtId="0" fontId="27" fillId="2" borderId="4"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0" fillId="0" borderId="7" xfId="0" applyBorder="1" applyAlignment="1">
      <alignment horizontal="center"/>
    </xf>
    <xf numFmtId="0" fontId="29" fillId="2" borderId="4" xfId="0" applyFont="1" applyFill="1" applyBorder="1" applyAlignment="1">
      <alignment horizontal="center" vertical="center" wrapText="1" readingOrder="1"/>
    </xf>
    <xf numFmtId="0" fontId="0" fillId="0" borderId="12" xfId="0" applyBorder="1" applyAlignment="1">
      <alignment horizontal="center"/>
    </xf>
    <xf numFmtId="0" fontId="0" fillId="0" borderId="9" xfId="0" applyBorder="1" applyAlignment="1">
      <alignment horizontal="center"/>
    </xf>
    <xf numFmtId="0" fontId="16" fillId="2" borderId="0" xfId="0" applyFont="1" applyFill="1"/>
    <xf numFmtId="0" fontId="27" fillId="2" borderId="7" xfId="0" applyFont="1" applyFill="1" applyBorder="1" applyAlignment="1">
      <alignment horizontal="center" vertical="center" wrapText="1"/>
    </xf>
    <xf numFmtId="10" fontId="27" fillId="2" borderId="7" xfId="0" applyNumberFormat="1" applyFont="1" applyFill="1" applyBorder="1" applyAlignment="1">
      <alignment horizontal="center" vertical="center" wrapText="1"/>
    </xf>
    <xf numFmtId="0" fontId="28" fillId="2" borderId="7" xfId="0" applyFont="1" applyFill="1" applyBorder="1" applyAlignment="1">
      <alignment horizontal="center" vertical="center" wrapText="1"/>
    </xf>
    <xf numFmtId="10" fontId="28" fillId="2" borderId="7" xfId="0" applyNumberFormat="1" applyFont="1" applyFill="1" applyBorder="1" applyAlignment="1">
      <alignment horizontal="center" vertical="center" wrapText="1"/>
    </xf>
    <xf numFmtId="0" fontId="16" fillId="2" borderId="4" xfId="0" applyFont="1" applyFill="1" applyBorder="1" applyAlignment="1">
      <alignment horizontal="left" vertical="top"/>
    </xf>
    <xf numFmtId="0" fontId="24" fillId="2" borderId="0" xfId="0" applyFont="1" applyFill="1" applyAlignment="1">
      <alignment horizontal="left" vertical="top"/>
    </xf>
    <xf numFmtId="0" fontId="28" fillId="2" borderId="6" xfId="0" applyFont="1" applyFill="1" applyBorder="1" applyAlignment="1">
      <alignment horizontal="center" vertical="center" wrapText="1"/>
    </xf>
    <xf numFmtId="0" fontId="0" fillId="2" borderId="8" xfId="0" applyFill="1" applyBorder="1" applyAlignment="1">
      <alignment horizontal="center"/>
    </xf>
    <xf numFmtId="0" fontId="0" fillId="2" borderId="11"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0" xfId="0" applyFill="1" applyBorder="1" applyAlignment="1">
      <alignment horizontal="center"/>
    </xf>
    <xf numFmtId="0" fontId="0" fillId="2" borderId="15" xfId="0" applyFill="1" applyBorder="1" applyAlignment="1">
      <alignment horizontal="center"/>
    </xf>
    <xf numFmtId="0" fontId="26" fillId="2" borderId="4" xfId="0" applyFont="1" applyFill="1" applyBorder="1" applyAlignment="1">
      <alignment horizontal="center" vertical="center" wrapText="1"/>
    </xf>
    <xf numFmtId="0" fontId="26" fillId="2" borderId="0" xfId="0" applyFont="1" applyFill="1" applyAlignment="1">
      <alignment horizontal="center" vertical="center"/>
    </xf>
    <xf numFmtId="0" fontId="26" fillId="2" borderId="4" xfId="0" applyFont="1" applyFill="1" applyBorder="1" applyAlignment="1">
      <alignment horizontal="center" vertical="center"/>
    </xf>
    <xf numFmtId="0" fontId="30" fillId="2" borderId="4" xfId="0" applyFont="1" applyFill="1" applyBorder="1" applyAlignment="1">
      <alignment horizontal="center" vertical="center" wrapText="1" readingOrder="1"/>
    </xf>
    <xf numFmtId="0" fontId="31" fillId="2" borderId="0" xfId="0" applyFont="1" applyFill="1" applyAlignment="1">
      <alignment vertical="top" wrapText="1"/>
    </xf>
    <xf numFmtId="2" fontId="16" fillId="0" borderId="4" xfId="0" applyNumberFormat="1" applyFont="1" applyBorder="1" applyAlignment="1">
      <alignment horizontal="center" vertical="center"/>
    </xf>
    <xf numFmtId="10" fontId="27" fillId="2" borderId="4" xfId="0" applyNumberFormat="1" applyFont="1" applyFill="1" applyBorder="1" applyAlignment="1">
      <alignment horizontal="center" vertical="center" wrapText="1"/>
    </xf>
    <xf numFmtId="0" fontId="27" fillId="2" borderId="12" xfId="0" applyFont="1" applyFill="1" applyBorder="1" applyAlignment="1">
      <alignment horizontal="center" vertical="center" wrapText="1"/>
    </xf>
    <xf numFmtId="0" fontId="31" fillId="2" borderId="0" xfId="0" applyFont="1" applyFill="1"/>
    <xf numFmtId="0" fontId="27" fillId="2" borderId="9" xfId="0" applyFont="1" applyFill="1" applyBorder="1" applyAlignment="1">
      <alignment horizontal="center" vertical="center" wrapText="1"/>
    </xf>
    <xf numFmtId="0" fontId="32" fillId="2" borderId="7" xfId="0" applyFont="1" applyFill="1" applyBorder="1" applyAlignment="1">
      <alignment horizontal="center" vertical="center" wrapText="1"/>
    </xf>
    <xf numFmtId="10" fontId="32" fillId="2" borderId="7" xfId="0" applyNumberFormat="1" applyFont="1" applyFill="1" applyBorder="1" applyAlignment="1">
      <alignment horizontal="center" vertical="center" wrapText="1"/>
    </xf>
    <xf numFmtId="0" fontId="33" fillId="2" borderId="0" xfId="0" applyFont="1" applyFill="1" applyAlignment="1">
      <alignment horizontal="center" vertical="center" wrapText="1"/>
    </xf>
    <xf numFmtId="10" fontId="33" fillId="2" borderId="0" xfId="0" applyNumberFormat="1" applyFont="1" applyFill="1" applyAlignment="1">
      <alignment horizontal="center" vertical="center" wrapText="1"/>
    </xf>
    <xf numFmtId="0" fontId="25" fillId="2" borderId="0" xfId="0" applyFont="1" applyFill="1"/>
    <xf numFmtId="0" fontId="16" fillId="0" borderId="4" xfId="0" applyFont="1" applyBorder="1" applyAlignment="1">
      <alignment horizontal="left" wrapText="1"/>
    </xf>
    <xf numFmtId="0" fontId="16" fillId="0" borderId="4" xfId="0" applyFont="1" applyBorder="1" applyAlignment="1">
      <alignment horizontal="left"/>
    </xf>
    <xf numFmtId="10" fontId="33" fillId="2" borderId="5" xfId="0" applyNumberFormat="1" applyFont="1" applyFill="1" applyBorder="1" applyAlignment="1">
      <alignment horizontal="center" vertical="center" wrapText="1"/>
    </xf>
    <xf numFmtId="10" fontId="33" fillId="2" borderId="2" xfId="0" applyNumberFormat="1" applyFont="1" applyFill="1" applyBorder="1" applyAlignment="1">
      <alignment horizontal="center" vertical="center" wrapText="1"/>
    </xf>
    <xf numFmtId="10" fontId="33" fillId="2" borderId="6" xfId="0" applyNumberFormat="1" applyFont="1" applyFill="1" applyBorder="1" applyAlignment="1">
      <alignment horizontal="center" vertical="center" wrapText="1"/>
    </xf>
    <xf numFmtId="0" fontId="34" fillId="0" borderId="1" xfId="0" applyFont="1" applyBorder="1" applyAlignment="1">
      <alignment horizontal="center"/>
    </xf>
    <xf numFmtId="0" fontId="34" fillId="0" borderId="2" xfId="0" applyFont="1" applyBorder="1" applyAlignment="1">
      <alignment horizontal="center"/>
    </xf>
    <xf numFmtId="0" fontId="16" fillId="0" borderId="0" xfId="0" applyFont="1" applyAlignment="1">
      <alignment horizontal="left" vertical="top" wrapText="1"/>
    </xf>
    <xf numFmtId="0" fontId="35" fillId="2" borderId="4" xfId="0" applyFont="1" applyFill="1" applyBorder="1" applyAlignment="1">
      <alignment horizontal="center" vertical="center" wrapText="1" readingOrder="1"/>
    </xf>
    <xf numFmtId="0" fontId="26" fillId="0" borderId="4" xfId="0" applyFont="1" applyBorder="1" applyAlignment="1">
      <alignment horizontal="center" vertical="center" wrapText="1"/>
    </xf>
    <xf numFmtId="176" fontId="0" fillId="2" borderId="4" xfId="0" applyNumberFormat="1" applyFill="1" applyBorder="1" applyAlignment="1">
      <alignment horizontal="center" vertical="center" wrapText="1"/>
    </xf>
    <xf numFmtId="0" fontId="0" fillId="2" borderId="0" xfId="0" applyFill="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6" fillId="2" borderId="3" xfId="0" applyFont="1" applyFill="1" applyBorder="1" applyAlignment="1">
      <alignment horizontal="left" vertical="top" wrapText="1"/>
    </xf>
    <xf numFmtId="0" fontId="16" fillId="2" borderId="0" xfId="0" applyFont="1" applyFill="1" applyAlignment="1">
      <alignment horizontal="left" vertical="top" wrapText="1"/>
    </xf>
    <xf numFmtId="0" fontId="36" fillId="2" borderId="4" xfId="0" applyFont="1" applyFill="1" applyBorder="1" applyAlignment="1">
      <alignment horizontal="center"/>
    </xf>
    <xf numFmtId="0" fontId="37" fillId="2" borderId="3" xfId="0" applyFont="1" applyFill="1" applyBorder="1" applyAlignment="1">
      <alignment horizontal="center" vertical="center" wrapText="1" readingOrder="1"/>
    </xf>
    <xf numFmtId="0" fontId="37" fillId="2" borderId="11" xfId="0" applyFont="1" applyFill="1" applyBorder="1" applyAlignment="1">
      <alignment horizontal="center" vertical="center" wrapText="1" readingOrder="1"/>
    </xf>
    <xf numFmtId="0" fontId="37" fillId="4" borderId="9" xfId="0" applyFont="1" applyFill="1" applyBorder="1" applyAlignment="1">
      <alignment horizontal="center" vertical="center" wrapText="1" readingOrder="1"/>
    </xf>
    <xf numFmtId="0" fontId="37" fillId="2" borderId="9" xfId="0" applyFont="1" applyFill="1" applyBorder="1" applyAlignment="1">
      <alignment horizontal="center" vertical="center" wrapText="1" readingOrder="1"/>
    </xf>
    <xf numFmtId="0" fontId="37" fillId="2" borderId="0" xfId="0" applyFont="1" applyFill="1" applyAlignment="1">
      <alignment horizontal="center" vertical="center" wrapText="1" readingOrder="1"/>
    </xf>
    <xf numFmtId="0" fontId="37" fillId="2" borderId="14" xfId="0" applyFont="1" applyFill="1" applyBorder="1" applyAlignment="1">
      <alignment horizontal="center" vertical="center" wrapText="1" readingOrder="1"/>
    </xf>
    <xf numFmtId="0" fontId="37" fillId="4" borderId="4" xfId="0" applyFont="1" applyFill="1" applyBorder="1" applyAlignment="1">
      <alignment horizontal="center" vertical="center" wrapText="1" readingOrder="1"/>
    </xf>
    <xf numFmtId="0" fontId="37" fillId="2" borderId="4" xfId="0" applyFont="1" applyFill="1" applyBorder="1" applyAlignment="1">
      <alignment horizontal="center" vertical="center" wrapText="1" readingOrder="1"/>
    </xf>
    <xf numFmtId="9" fontId="38" fillId="2" borderId="4" xfId="0" applyNumberFormat="1" applyFont="1" applyFill="1" applyBorder="1" applyAlignment="1">
      <alignment horizontal="center" vertical="center" wrapText="1" readingOrder="1"/>
    </xf>
    <xf numFmtId="0" fontId="38" fillId="4" borderId="4" xfId="0" applyFont="1" applyFill="1" applyBorder="1" applyAlignment="1">
      <alignment horizontal="center" vertical="center" wrapText="1" readingOrder="1"/>
    </xf>
    <xf numFmtId="177" fontId="38" fillId="2" borderId="4" xfId="0" applyNumberFormat="1" applyFont="1" applyFill="1" applyBorder="1" applyAlignment="1">
      <alignment horizontal="center" vertical="center" wrapText="1" readingOrder="1"/>
    </xf>
    <xf numFmtId="0" fontId="38" fillId="2" borderId="4" xfId="0" applyFont="1" applyFill="1" applyBorder="1" applyAlignment="1">
      <alignment horizontal="center" vertical="center" wrapText="1" readingOrder="1"/>
    </xf>
    <xf numFmtId="0" fontId="39" fillId="2" borderId="4" xfId="0" applyFont="1" applyFill="1" applyBorder="1" applyAlignment="1">
      <alignment horizontal="center" vertical="top" wrapText="1"/>
    </xf>
    <xf numFmtId="0" fontId="0" fillId="2" borderId="4" xfId="0" applyFill="1" applyBorder="1" applyAlignment="1">
      <alignment horizontal="center" vertical="center" wrapText="1"/>
    </xf>
    <xf numFmtId="0" fontId="0" fillId="2" borderId="4" xfId="0" applyFill="1" applyBorder="1" applyAlignment="1">
      <alignment horizontal="center" vertical="center"/>
    </xf>
    <xf numFmtId="10" fontId="0" fillId="2" borderId="4" xfId="0" applyNumberFormat="1" applyFill="1" applyBorder="1" applyAlignment="1">
      <alignment horizontal="center" vertical="center"/>
    </xf>
    <xf numFmtId="0" fontId="40" fillId="0" borderId="1" xfId="0" applyFont="1" applyBorder="1" applyAlignment="1">
      <alignment horizontal="center"/>
    </xf>
    <xf numFmtId="0" fontId="40" fillId="0" borderId="2" xfId="0" applyFont="1" applyBorder="1" applyAlignment="1">
      <alignment horizontal="center"/>
    </xf>
    <xf numFmtId="0" fontId="24" fillId="0" borderId="4" xfId="0" applyFont="1" applyBorder="1" applyAlignment="1">
      <alignment horizontal="center" wrapText="1"/>
    </xf>
    <xf numFmtId="0" fontId="24"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center" wrapText="1"/>
    </xf>
    <xf numFmtId="0" fontId="0" fillId="0" borderId="4" xfId="0" applyBorder="1" applyAlignment="1">
      <alignment horizontal="center"/>
    </xf>
    <xf numFmtId="0" fontId="0" fillId="0" borderId="5" xfId="0" applyBorder="1" applyAlignment="1">
      <alignment horizontal="center" wrapText="1"/>
    </xf>
    <xf numFmtId="0" fontId="0" fillId="0" borderId="4" xfId="0" applyBorder="1" applyAlignment="1">
      <alignment wrapText="1"/>
    </xf>
    <xf numFmtId="0" fontId="0" fillId="0" borderId="5" xfId="0" applyBorder="1" applyAlignment="1">
      <alignment horizontal="center" vertical="center"/>
    </xf>
    <xf numFmtId="0" fontId="0" fillId="0" borderId="6" xfId="0" applyBorder="1" applyAlignment="1">
      <alignment horizontal="center" vertical="center"/>
    </xf>
    <xf numFmtId="0" fontId="2" fillId="0" borderId="5" xfId="0" applyFont="1" applyBorder="1" applyAlignment="1">
      <alignment horizontal="center"/>
    </xf>
    <xf numFmtId="0" fontId="2" fillId="0" borderId="2" xfId="0" applyFont="1" applyBorder="1" applyAlignment="1">
      <alignment horizontal="center"/>
    </xf>
    <xf numFmtId="0" fontId="2" fillId="0" borderId="6" xfId="0" applyFont="1" applyBorder="1" applyAlignment="1">
      <alignment horizontal="center"/>
    </xf>
    <xf numFmtId="0" fontId="41" fillId="0" borderId="4" xfId="0" applyFont="1" applyBorder="1" applyAlignment="1">
      <alignment horizontal="center" wrapText="1"/>
    </xf>
    <xf numFmtId="0" fontId="41" fillId="0" borderId="4" xfId="0" applyFont="1" applyBorder="1" applyAlignment="1">
      <alignment horizontal="center"/>
    </xf>
    <xf numFmtId="0" fontId="26" fillId="0" borderId="5" xfId="0" applyFont="1" applyBorder="1" applyAlignment="1">
      <alignment horizontal="center" vertical="center" wrapText="1"/>
    </xf>
    <xf numFmtId="0" fontId="26" fillId="0" borderId="2" xfId="0" applyFont="1" applyBorder="1" applyAlignment="1">
      <alignment horizontal="center" vertical="center"/>
    </xf>
    <xf numFmtId="0" fontId="26" fillId="0" borderId="6" xfId="0" applyFont="1" applyBorder="1" applyAlignment="1">
      <alignment horizontal="center" vertical="center"/>
    </xf>
    <xf numFmtId="0" fontId="0" fillId="0" borderId="8"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41" fillId="0" borderId="4" xfId="0" applyFont="1" applyBorder="1" applyAlignment="1">
      <alignment horizontal="center" vertical="center" wrapText="1"/>
    </xf>
    <xf numFmtId="0" fontId="41" fillId="0" borderId="4" xfId="0" applyFont="1" applyBorder="1" applyAlignment="1">
      <alignment horizontal="center" vertical="center"/>
    </xf>
    <xf numFmtId="0" fontId="24" fillId="0" borderId="5" xfId="0" applyFont="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41" fillId="0" borderId="2" xfId="0" applyFont="1" applyBorder="1" applyAlignment="1">
      <alignment horizontal="center" wrapText="1"/>
    </xf>
    <xf numFmtId="0" fontId="41" fillId="0" borderId="2" xfId="0" applyFont="1" applyBorder="1" applyAlignment="1">
      <alignment horizontal="center"/>
    </xf>
    <xf numFmtId="0" fontId="41" fillId="0" borderId="6" xfId="0" applyFont="1" applyBorder="1" applyAlignment="1">
      <alignment horizontal="center"/>
    </xf>
    <xf numFmtId="0" fontId="0" fillId="0" borderId="2" xfId="0" applyBorder="1" applyAlignment="1">
      <alignment horizontal="center" vertical="center"/>
    </xf>
    <xf numFmtId="0" fontId="24" fillId="0" borderId="4" xfId="0" applyFont="1" applyBorder="1" applyAlignment="1">
      <alignment horizontal="center" vertical="center" wrapText="1"/>
    </xf>
    <xf numFmtId="0" fontId="24" fillId="0" borderId="4" xfId="0" applyFont="1" applyBorder="1" applyAlignment="1">
      <alignment horizontal="center" vertical="center"/>
    </xf>
    <xf numFmtId="0" fontId="40" fillId="0" borderId="5" xfId="0" applyFont="1" applyBorder="1" applyAlignment="1">
      <alignment horizontal="center" vertical="center"/>
    </xf>
    <xf numFmtId="0" fontId="40" fillId="0" borderId="2" xfId="0" applyFont="1" applyBorder="1" applyAlignment="1">
      <alignment horizontal="center" vertical="center"/>
    </xf>
    <xf numFmtId="0" fontId="40" fillId="0" borderId="6" xfId="0" applyFont="1" applyBorder="1" applyAlignment="1">
      <alignment horizontal="center" vertical="center"/>
    </xf>
    <xf numFmtId="0" fontId="40" fillId="0" borderId="10" xfId="0" applyFont="1" applyBorder="1" applyAlignment="1">
      <alignment horizontal="center" vertical="center"/>
    </xf>
    <xf numFmtId="0" fontId="40" fillId="0" borderId="1" xfId="0" applyFont="1" applyBorder="1" applyAlignment="1">
      <alignment horizontal="center" vertical="center"/>
    </xf>
    <xf numFmtId="0" fontId="40" fillId="0" borderId="15" xfId="0" applyFont="1" applyBorder="1" applyAlignment="1">
      <alignment horizontal="center" vertical="center"/>
    </xf>
    <xf numFmtId="0" fontId="24" fillId="2" borderId="10" xfId="0" applyFont="1" applyFill="1" applyBorder="1" applyAlignment="1">
      <alignment horizontal="left" vertical="center"/>
    </xf>
    <xf numFmtId="0" fontId="24" fillId="2" borderId="1" xfId="0" applyFont="1" applyFill="1" applyBorder="1" applyAlignment="1">
      <alignment horizontal="left" vertical="center"/>
    </xf>
    <xf numFmtId="0" fontId="24" fillId="2" borderId="15" xfId="0" applyFont="1" applyFill="1" applyBorder="1" applyAlignment="1">
      <alignment horizontal="left" vertical="center"/>
    </xf>
    <xf numFmtId="0" fontId="37" fillId="2" borderId="4"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6" xfId="0" applyFont="1" applyFill="1" applyBorder="1" applyAlignment="1">
      <alignment horizontal="center" vertical="center"/>
    </xf>
    <xf numFmtId="0" fontId="37" fillId="2" borderId="6" xfId="0" applyFont="1" applyFill="1" applyBorder="1" applyAlignment="1">
      <alignment horizontal="center" vertical="center" wrapText="1"/>
    </xf>
    <xf numFmtId="0" fontId="25"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xf numFmtId="58" fontId="25" fillId="2" borderId="5" xfId="0" applyNumberFormat="1" applyFont="1" applyFill="1" applyBorder="1" applyAlignment="1">
      <alignment horizontal="center" vertical="center"/>
    </xf>
    <xf numFmtId="0" fontId="37" fillId="2" borderId="5" xfId="0" applyFont="1" applyFill="1" applyBorder="1" applyAlignment="1">
      <alignment horizontal="center" vertical="center"/>
    </xf>
    <xf numFmtId="0" fontId="37" fillId="2" borderId="6" xfId="0" applyFont="1" applyFill="1" applyBorder="1" applyAlignment="1">
      <alignment horizontal="center" vertical="center"/>
    </xf>
    <xf numFmtId="0" fontId="42" fillId="2" borderId="0" xfId="0" applyFont="1" applyFill="1" applyAlignment="1">
      <alignment horizontal="center" vertical="center" wrapText="1"/>
    </xf>
    <xf numFmtId="0" fontId="42" fillId="2" borderId="4" xfId="0" applyFont="1" applyFill="1" applyBorder="1" applyAlignment="1">
      <alignment horizontal="center" vertical="center" wrapText="1"/>
    </xf>
    <xf numFmtId="0" fontId="42" fillId="2" borderId="5" xfId="0" applyFont="1" applyFill="1" applyBorder="1" applyAlignment="1">
      <alignment horizontal="center" vertical="top" wrapText="1"/>
    </xf>
    <xf numFmtId="0" fontId="25" fillId="2" borderId="5" xfId="0" applyFont="1" applyFill="1" applyBorder="1" applyAlignment="1">
      <alignment horizontal="center" vertical="center" wrapText="1"/>
    </xf>
    <xf numFmtId="0" fontId="25" fillId="2" borderId="2" xfId="0" applyFont="1" applyFill="1" applyBorder="1" applyAlignment="1">
      <alignment horizontal="center" vertical="center"/>
    </xf>
    <xf numFmtId="0" fontId="25" fillId="2" borderId="4" xfId="0" applyFont="1" applyFill="1" applyBorder="1" applyAlignment="1">
      <alignment horizontal="center" vertical="center" wrapText="1"/>
    </xf>
    <xf numFmtId="0" fontId="19" fillId="2" borderId="5" xfId="0" applyFont="1" applyFill="1" applyBorder="1" applyAlignment="1">
      <alignment horizontal="center" vertical="center"/>
    </xf>
    <xf numFmtId="0" fontId="19" fillId="2" borderId="6" xfId="0" applyFont="1" applyFill="1" applyBorder="1" applyAlignment="1">
      <alignment horizontal="center" vertical="center"/>
    </xf>
    <xf numFmtId="0" fontId="19" fillId="2" borderId="5" xfId="0" applyFont="1" applyFill="1" applyBorder="1" applyAlignment="1">
      <alignment horizontal="center"/>
    </xf>
    <xf numFmtId="0" fontId="19" fillId="2" borderId="6" xfId="0" applyFont="1" applyFill="1" applyBorder="1" applyAlignment="1">
      <alignment horizontal="center"/>
    </xf>
    <xf numFmtId="0" fontId="19" fillId="2" borderId="5" xfId="0" applyFont="1" applyFill="1" applyBorder="1" applyAlignment="1">
      <alignment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19" fillId="2" borderId="2" xfId="0" applyFont="1"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37" fillId="2" borderId="4" xfId="0" applyFont="1" applyFill="1" applyBorder="1" applyAlignment="1">
      <alignment horizontal="center" vertical="center" wrapText="1"/>
    </xf>
    <xf numFmtId="0" fontId="24" fillId="2" borderId="8" xfId="0" applyFont="1" applyFill="1" applyBorder="1" applyAlignment="1">
      <alignment horizontal="left" vertical="center"/>
    </xf>
    <xf numFmtId="0" fontId="24" fillId="2" borderId="3" xfId="0" applyFont="1" applyFill="1" applyBorder="1" applyAlignment="1">
      <alignment horizontal="left" vertical="center"/>
    </xf>
    <xf numFmtId="0" fontId="24" fillId="2" borderId="11" xfId="0" applyFont="1" applyFill="1" applyBorder="1" applyAlignment="1">
      <alignment horizontal="left" vertical="center"/>
    </xf>
    <xf numFmtId="0" fontId="37" fillId="2" borderId="5" xfId="0" applyFont="1" applyFill="1" applyBorder="1" applyAlignment="1">
      <alignment horizontal="center" vertical="center" wrapText="1"/>
    </xf>
    <xf numFmtId="0" fontId="37" fillId="2" borderId="2" xfId="0" applyFont="1" applyFill="1" applyBorder="1" applyAlignment="1">
      <alignment horizontal="center" vertical="center" wrapText="1"/>
    </xf>
    <xf numFmtId="0" fontId="37" fillId="2" borderId="2" xfId="0" applyFont="1" applyFill="1" applyBorder="1" applyAlignment="1">
      <alignment horizontal="center" vertical="center"/>
    </xf>
    <xf numFmtId="0" fontId="25" fillId="2" borderId="2" xfId="0" applyFont="1" applyFill="1" applyBorder="1" applyAlignment="1">
      <alignment horizontal="center" vertical="center" wrapText="1"/>
    </xf>
    <xf numFmtId="0" fontId="25" fillId="2" borderId="11" xfId="0" applyFont="1" applyFill="1" applyBorder="1" applyAlignment="1">
      <alignment horizontal="center" vertical="center"/>
    </xf>
    <xf numFmtId="0" fontId="25" fillId="2" borderId="7" xfId="0" applyFont="1" applyFill="1" applyBorder="1" applyAlignment="1">
      <alignment horizontal="center" vertical="center"/>
    </xf>
    <xf numFmtId="0" fontId="37" fillId="2" borderId="8" xfId="0" applyFont="1" applyFill="1" applyBorder="1" applyAlignment="1">
      <alignment horizontal="center" vertical="center" wrapText="1"/>
    </xf>
    <xf numFmtId="0" fontId="37" fillId="2" borderId="11" xfId="0" applyFont="1" applyFill="1" applyBorder="1" applyAlignment="1">
      <alignment horizontal="center" vertical="center" wrapText="1"/>
    </xf>
    <xf numFmtId="2" fontId="25" fillId="2" borderId="5" xfId="0" applyNumberFormat="1" applyFont="1" applyFill="1" applyBorder="1" applyAlignment="1">
      <alignment horizontal="center" vertical="center" wrapText="1"/>
    </xf>
    <xf numFmtId="2" fontId="25" fillId="2" borderId="6" xfId="0" applyNumberFormat="1" applyFont="1" applyFill="1" applyBorder="1" applyAlignment="1">
      <alignment horizontal="center" vertical="center" wrapText="1"/>
    </xf>
    <xf numFmtId="10" fontId="25" fillId="2" borderId="4" xfId="0" applyNumberFormat="1" applyFont="1" applyFill="1" applyBorder="1" applyAlignment="1">
      <alignment horizontal="center" vertical="center"/>
    </xf>
    <xf numFmtId="0" fontId="43" fillId="2" borderId="6" xfId="0" applyFont="1" applyFill="1" applyBorder="1" applyAlignment="1">
      <alignment horizontal="center" vertical="center"/>
    </xf>
    <xf numFmtId="0" fontId="43" fillId="2" borderId="5" xfId="0" applyFont="1" applyFill="1" applyBorder="1" applyAlignment="1">
      <alignment horizontal="center" vertical="center"/>
    </xf>
    <xf numFmtId="0" fontId="41" fillId="2" borderId="8" xfId="0" applyFont="1" applyFill="1" applyBorder="1" applyAlignment="1">
      <alignment horizontal="center" vertical="center" wrapText="1"/>
    </xf>
    <xf numFmtId="0" fontId="41" fillId="2" borderId="3" xfId="0" applyFont="1" applyFill="1" applyBorder="1" applyAlignment="1">
      <alignment horizontal="center" vertical="center"/>
    </xf>
    <xf numFmtId="0" fontId="41" fillId="2" borderId="11" xfId="0" applyFont="1" applyFill="1" applyBorder="1" applyAlignment="1">
      <alignment horizontal="center" vertical="center"/>
    </xf>
    <xf numFmtId="0" fontId="41" fillId="2" borderId="10" xfId="0" applyFont="1" applyFill="1" applyBorder="1" applyAlignment="1">
      <alignment horizontal="center" vertical="center"/>
    </xf>
    <xf numFmtId="0" fontId="41" fillId="2" borderId="1" xfId="0" applyFont="1" applyFill="1" applyBorder="1" applyAlignment="1">
      <alignment horizontal="center" vertical="center"/>
    </xf>
    <xf numFmtId="0" fontId="41" fillId="2" borderId="15"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6" xfId="0" applyFont="1" applyFill="1" applyBorder="1" applyAlignment="1">
      <alignment horizontal="center" vertical="center"/>
    </xf>
    <xf numFmtId="0" fontId="26" fillId="2" borderId="5" xfId="0" applyFont="1" applyFill="1" applyBorder="1" applyAlignment="1">
      <alignment horizontal="center" vertical="center" wrapText="1"/>
    </xf>
    <xf numFmtId="0" fontId="44" fillId="2" borderId="5"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4" fillId="2" borderId="6" xfId="0" applyFont="1" applyFill="1" applyBorder="1" applyAlignment="1">
      <alignment horizontal="center" vertical="center" wrapText="1"/>
    </xf>
    <xf numFmtId="16" fontId="44" fillId="2" borderId="5" xfId="0" applyNumberFormat="1" applyFont="1" applyFill="1" applyBorder="1" applyAlignment="1">
      <alignment horizontal="center" vertical="center" wrapText="1"/>
    </xf>
    <xf numFmtId="16" fontId="44" fillId="2" borderId="2" xfId="0" applyNumberFormat="1" applyFont="1" applyFill="1" applyBorder="1" applyAlignment="1">
      <alignment horizontal="center" vertical="center" wrapText="1"/>
    </xf>
    <xf numFmtId="16" fontId="44" fillId="2" borderId="6" xfId="0" applyNumberFormat="1" applyFont="1" applyFill="1" applyBorder="1" applyAlignment="1">
      <alignment horizontal="center" vertical="center" wrapText="1"/>
    </xf>
    <xf numFmtId="0" fontId="25" fillId="2" borderId="4" xfId="0" applyFont="1" applyFill="1" applyBorder="1" applyAlignment="1">
      <alignment horizontal="left" vertical="center" wrapText="1"/>
    </xf>
    <xf numFmtId="0" fontId="25" fillId="2" borderId="5" xfId="0" applyFont="1" applyFill="1" applyBorder="1" applyAlignment="1">
      <alignment horizontal="left" vertical="center" wrapText="1"/>
    </xf>
    <xf numFmtId="0" fontId="25" fillId="2" borderId="2" xfId="0" applyFont="1" applyFill="1" applyBorder="1" applyAlignment="1">
      <alignment horizontal="left" vertical="center"/>
    </xf>
    <xf numFmtId="0" fontId="25" fillId="2" borderId="6" xfId="0" applyFont="1" applyFill="1" applyBorder="1" applyAlignment="1">
      <alignment horizontal="left" vertical="center"/>
    </xf>
    <xf numFmtId="0" fontId="45" fillId="2" borderId="0" xfId="0" applyFont="1" applyFill="1"/>
    <xf numFmtId="0" fontId="2" fillId="2" borderId="4" xfId="0" applyFont="1" applyFill="1" applyBorder="1" applyAlignment="1">
      <alignment horizontal="center" vertical="center"/>
    </xf>
    <xf numFmtId="0" fontId="41" fillId="2" borderId="4" xfId="0" applyFont="1" applyFill="1" applyBorder="1" applyAlignment="1">
      <alignment horizontal="center" vertical="center"/>
    </xf>
    <xf numFmtId="0" fontId="19" fillId="2" borderId="13" xfId="0" applyFont="1" applyFill="1" applyBorder="1"/>
    <xf numFmtId="0" fontId="19" fillId="2" borderId="0" xfId="0" applyFont="1" applyFill="1"/>
    <xf numFmtId="0" fontId="19" fillId="2" borderId="14" xfId="0" applyFont="1" applyFill="1" applyBorder="1"/>
    <xf numFmtId="0" fontId="19" fillId="2" borderId="0" xfId="0" applyFont="1" applyFill="1" applyAlignment="1">
      <alignment horizontal="center"/>
    </xf>
    <xf numFmtId="0" fontId="2" fillId="2" borderId="8"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1" xfId="0" applyFont="1" applyFill="1" applyBorder="1" applyAlignment="1">
      <alignment horizontal="center" vertical="center"/>
    </xf>
    <xf numFmtId="176" fontId="25" fillId="2" borderId="4" xfId="0" applyNumberFormat="1" applyFont="1" applyFill="1" applyBorder="1" applyAlignment="1">
      <alignment horizontal="center" vertical="center"/>
    </xf>
    <xf numFmtId="1" fontId="25" fillId="2" borderId="5" xfId="0" applyNumberFormat="1" applyFont="1" applyFill="1" applyBorder="1" applyAlignment="1">
      <alignment horizontal="center" vertical="center"/>
    </xf>
    <xf numFmtId="1" fontId="25" fillId="2" borderId="2" xfId="0" applyNumberFormat="1" applyFont="1" applyFill="1" applyBorder="1" applyAlignment="1">
      <alignment horizontal="center" vertical="center"/>
    </xf>
    <xf numFmtId="0" fontId="0" fillId="2" borderId="10" xfId="0" applyFill="1" applyBorder="1"/>
    <xf numFmtId="0" fontId="0" fillId="2" borderId="1" xfId="0" applyFill="1" applyBorder="1"/>
    <xf numFmtId="0" fontId="0" fillId="2" borderId="1" xfId="0" applyFill="1" applyBorder="1" applyAlignment="1">
      <alignment horizontal="center" vertical="center"/>
    </xf>
    <xf numFmtId="0" fontId="46" fillId="0" borderId="0" xfId="0" applyFont="1" applyAlignment="1">
      <alignment horizontal="center" vertical="center" wrapText="1"/>
    </xf>
    <xf numFmtId="0" fontId="46" fillId="0" borderId="0" xfId="0" applyFont="1" applyAlignment="1">
      <alignment horizontal="center" vertical="center"/>
    </xf>
    <xf numFmtId="0" fontId="0" fillId="0" borderId="4" xfId="0" applyBorder="1"/>
    <xf numFmtId="0" fontId="0" fillId="2" borderId="4" xfId="0" applyFill="1" applyBorder="1"/>
    <xf numFmtId="0" fontId="45" fillId="0" borderId="0" xfId="0" applyFont="1" applyAlignment="1">
      <alignment horizontal="left" vertical="top" wrapText="1"/>
    </xf>
    <xf numFmtId="0" fontId="0" fillId="0" borderId="0" xfId="0" applyAlignment="1">
      <alignment horizontal="left" vertical="top" wrapText="1"/>
    </xf>
    <xf numFmtId="0" fontId="25" fillId="2" borderId="5" xfId="0" applyFont="1" applyFill="1" applyBorder="1" applyAlignment="1" quotePrefix="1">
      <alignment horizontal="center" vertical="center"/>
    </xf>
    <xf numFmtId="0" fontId="6" fillId="0" borderId="1" xfId="0" applyFont="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3366FF"/>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sz="1200"/>
              <a:t>有效粘度 </a:t>
            </a:r>
            <a:r>
              <a:rPr lang="en-US" altLang="zh-CN" sz="1200"/>
              <a:t>MPa*s Effective Viscosity</a:t>
            </a:r>
            <a:endParaRPr lang="en-US" altLang="zh-CN" sz="1200"/>
          </a:p>
        </c:rich>
      </c:tx>
      <c:layout/>
      <c:overlay val="0"/>
      <c:spPr>
        <a:noFill/>
        <a:ln>
          <a:noFill/>
        </a:ln>
        <a:effectLst/>
      </c:spPr>
    </c:title>
    <c:autoTitleDeleted val="0"/>
    <c:plotArea>
      <c:layout>
        <c:manualLayout>
          <c:layoutTarget val="inner"/>
          <c:xMode val="edge"/>
          <c:yMode val="edge"/>
          <c:x val="0.146495876404075"/>
          <c:y val="0.129244230621641"/>
          <c:w val="0.810705385760429"/>
          <c:h val="0.645553301389116"/>
        </c:manualLayout>
      </c:layout>
      <c:scatterChart>
        <c:scatterStyle val="smoothMarker"/>
        <c:varyColors val="0"/>
        <c:ser>
          <c:idx val="0"/>
          <c:order val="0"/>
          <c:tx>
            <c:strRef>
              <c:f>'粘度曲线Viscosity Curve'!$H$13:$H$15</c:f>
              <c:strCache>
                <c:ptCount val="1"/>
                <c:pt idx="0">
                  <c:v>有效粘度
Effective Viscosity MPa*s</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Lbl>
              <c:idx val="3"/>
              <c:layout/>
              <c:numFmt formatCode="General" sourceLinked="1"/>
              <c:spPr>
                <a:noFill/>
                <a:ln>
                  <a:noFill/>
                </a:ln>
                <a:effectLst/>
              </c:spPr>
              <c:txPr>
                <a:bodyPr rot="0" spcFirstLastPara="1" vertOverflow="ellipsis" vert="horz" wrap="square" lIns="38100" tIns="19050" rIns="38100" bIns="19050" anchor="ctr" anchorCtr="1">
                  <a:no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xVal>
            <c:numRef>
              <c:f>'粘度曲线Viscosity Curve'!$G$16:$G$22</c:f>
              <c:numCache>
                <c:formatCode>0.000</c:formatCode>
                <c:ptCount val="7"/>
                <c:pt idx="0">
                  <c:v>0.5</c:v>
                </c:pt>
                <c:pt idx="1">
                  <c:v>0.434782608695652</c:v>
                </c:pt>
                <c:pt idx="2">
                  <c:v>0.384615384615385</c:v>
                </c:pt>
                <c:pt idx="3">
                  <c:v>0.333333333333333</c:v>
                </c:pt>
                <c:pt idx="4">
                  <c:v>0.277777777777778</c:v>
                </c:pt>
                <c:pt idx="5">
                  <c:v>0.169491525423729</c:v>
                </c:pt>
                <c:pt idx="6">
                  <c:v>0.0510204081632653</c:v>
                </c:pt>
              </c:numCache>
            </c:numRef>
          </c:xVal>
          <c:yVal>
            <c:numRef>
              <c:f>'粘度曲线Viscosity Curve'!$H$16:$H$22</c:f>
              <c:numCache>
                <c:formatCode>General</c:formatCode>
                <c:ptCount val="7"/>
                <c:pt idx="0">
                  <c:v>230</c:v>
                </c:pt>
                <c:pt idx="1">
                  <c:v>253</c:v>
                </c:pt>
                <c:pt idx="2">
                  <c:v>275.08</c:v>
                </c:pt>
                <c:pt idx="3">
                  <c:v>305.1</c:v>
                </c:pt>
                <c:pt idx="4">
                  <c:v>350.64</c:v>
                </c:pt>
                <c:pt idx="5">
                  <c:v>517.43</c:v>
                </c:pt>
                <c:pt idx="6">
                  <c:v>1844.36</c:v>
                </c:pt>
              </c:numCache>
            </c:numRef>
          </c:yVal>
          <c:smooth val="1"/>
        </c:ser>
        <c:dLbls>
          <c:showLegendKey val="0"/>
          <c:showVal val="0"/>
          <c:showCatName val="0"/>
          <c:showSerName val="0"/>
          <c:showPercent val="0"/>
          <c:showBubbleSize val="0"/>
        </c:dLbls>
        <c:axId val="516614568"/>
        <c:axId val="516616920"/>
      </c:scatterChart>
      <c:valAx>
        <c:axId val="516614568"/>
        <c:scaling>
          <c:orientation val="minMax"/>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剪切率</a:t>
                </a:r>
                <a:endParaRPr lang="zh-CN" altLang="en-US"/>
              </a:p>
            </c:rich>
          </c:tx>
          <c:layout>
            <c:manualLayout>
              <c:xMode val="edge"/>
              <c:yMode val="edge"/>
              <c:x val="0.874022963567235"/>
              <c:y val="0.882446917356863"/>
            </c:manualLayout>
          </c:layout>
          <c:overlay val="0"/>
          <c:spPr>
            <a:noFill/>
            <a:ln>
              <a:noFill/>
            </a:ln>
            <a:effectLst/>
          </c:spPr>
        </c:title>
        <c:numFmt formatCode="0.000" sourceLinked="1"/>
        <c:majorTickMark val="none"/>
        <c:minorTickMark val="none"/>
        <c:tickLblPos val="nextTo"/>
        <c:spPr>
          <a:noFill/>
          <a:ln w="19050" cap="flat" cmpd="sng" algn="ctr">
            <a:solidFill>
              <a:srgbClr val="FF0000"/>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6616920"/>
        <c:crosses val="autoZero"/>
        <c:crossBetween val="midCat"/>
      </c:valAx>
      <c:valAx>
        <c:axId val="516616920"/>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r>
                  <a:rPr lang="zh-CN" altLang="en-US" sz="900"/>
                  <a:t>有效粘度</a:t>
                </a:r>
                <a:endParaRPr lang="zh-CN" altLang="en-US" sz="900"/>
              </a:p>
            </c:rich>
          </c:tx>
          <c:layout/>
          <c:overlay val="0"/>
          <c:spPr>
            <a:noFill/>
            <a:ln>
              <a:noFill/>
            </a:ln>
            <a:effectLst/>
          </c:spPr>
        </c:title>
        <c:numFmt formatCode="General" sourceLinked="1"/>
        <c:majorTickMark val="none"/>
        <c:minorTickMark val="none"/>
        <c:tickLblPos val="nextTo"/>
        <c:spPr>
          <a:noFill/>
          <a:ln w="19050" cap="flat" cmpd="sng" algn="ctr">
            <a:solidFill>
              <a:srgbClr val="FF0000"/>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6614568"/>
        <c:crosses val="autoZero"/>
        <c:crossBetween val="midCat"/>
      </c:valAx>
      <c:spPr>
        <a:noFill/>
        <a:ln w="25400">
          <a:noFill/>
        </a:ln>
        <a:effectLst/>
      </c:spPr>
    </c:plotArea>
    <c:plotVisOnly val="1"/>
    <c:dispBlanksAs val="gap"/>
    <c:showDLblsOverMax val="0"/>
    <c:extLst>
      <c:ext uri="{0b15fc19-7d7d-44ad-8c2d-2c3a37ce22c3}">
        <chartProps xmlns="https://web.wps.cn/et/2018/main" chartId="{425f4cf2-58e2-4622-87ad-1a08fb12789c}"/>
      </c:ext>
    </c:extLst>
  </c:chart>
  <c:spPr>
    <a:solidFill>
      <a:schemeClr val="bg1"/>
    </a:solidFill>
    <a:ln w="317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manualLayout>
          <c:layoutTarget val="inner"/>
          <c:xMode val="edge"/>
          <c:yMode val="edge"/>
          <c:x val="0.0763105184917788"/>
          <c:y val="0.170010517638364"/>
          <c:w val="0.888668787461739"/>
          <c:h val="0.587098634331358"/>
        </c:manualLayout>
      </c:layout>
      <c:barChart>
        <c:barDir val="col"/>
        <c:grouping val="clustered"/>
        <c:varyColors val="0"/>
        <c:ser>
          <c:idx val="0"/>
          <c:order val="0"/>
          <c:tx>
            <c:strRef>
              <c:f>'动态压力降测试Dynamic pressure  test'!$F$21</c:f>
              <c:strCache>
                <c:ptCount val="1"/>
                <c:pt idx="0">
                  <c:v>峰值压力
Peak pressure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'动态压力降测试Dynamic pressure  test'!$D$22:$E$26</c:f>
              <c:multiLvlStrCache>
                <c:ptCount val="5"/>
                <c:lvl>
                  <c:pt idx="0">
                    <c:v>喷咀Nozzle</c:v>
                  </c:pt>
                  <c:pt idx="1">
                    <c:v>流道Runner</c:v>
                  </c:pt>
                  <c:pt idx="2">
                    <c:v>浇口Gate</c:v>
                  </c:pt>
                  <c:pt idx="3">
                    <c:v>50%产品
fill 50% part</c:v>
                  </c:pt>
                  <c:pt idx="4">
                    <c:v>产品V/P
V/P part</c:v>
                  </c:pt>
                </c:lvl>
                <c:lvl>
                  <c:pt idx="0">
                    <c:v>1</c:v>
                  </c:pt>
                  <c:pt idx="1">
                    <c:v>2</c:v>
                  </c:pt>
                  <c:pt idx="2">
                    <c:v>3</c:v>
                  </c:pt>
                  <c:pt idx="3">
                    <c:v>4</c:v>
                  </c:pt>
                  <c:pt idx="4">
                    <c:v>5</c:v>
                  </c:pt>
                </c:lvl>
              </c:multiLvlStrCache>
            </c:multiLvlStrRef>
          </c:cat>
          <c:val>
            <c:numRef>
              <c:f>'动态压力降测试Dynamic pressure  test'!$F$22:$F$26</c:f>
              <c:numCache>
                <c:formatCode>General</c:formatCode>
                <c:ptCount val="5"/>
                <c:pt idx="0">
                  <c:v>24.3</c:v>
                </c:pt>
                <c:pt idx="1">
                  <c:v>28.2</c:v>
                </c:pt>
                <c:pt idx="2">
                  <c:v>55</c:v>
                </c:pt>
                <c:pt idx="3">
                  <c:v>77.3</c:v>
                </c:pt>
                <c:pt idx="4">
                  <c:v>106.7</c:v>
                </c:pt>
              </c:numCache>
            </c:numRef>
          </c:val>
        </c:ser>
        <c:dLbls>
          <c:showLegendKey val="0"/>
          <c:showVal val="0"/>
          <c:showCatName val="0"/>
          <c:showSerName val="0"/>
          <c:showPercent val="0"/>
          <c:showBubbleSize val="0"/>
        </c:dLbls>
        <c:gapWidth val="219"/>
        <c:overlap val="-27"/>
        <c:axId val="115673344"/>
        <c:axId val="115675304"/>
      </c:barChart>
      <c:catAx>
        <c:axId val="1156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5675304"/>
        <c:crosses val="autoZero"/>
        <c:auto val="1"/>
        <c:lblAlgn val="ctr"/>
        <c:lblOffset val="100"/>
        <c:noMultiLvlLbl val="0"/>
      </c:catAx>
      <c:valAx>
        <c:axId val="11567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15673344"/>
        <c:crosses val="autoZero"/>
        <c:crossBetween val="between"/>
      </c:valAx>
      <c:spPr>
        <a:noFill/>
        <a:ln>
          <a:noFill/>
        </a:ln>
        <a:effectLst/>
      </c:spPr>
    </c:plotArea>
    <c:plotVisOnly val="1"/>
    <c:dispBlanksAs val="gap"/>
    <c:showDLblsOverMax val="0"/>
    <c:extLst>
      <c:ext uri="{0b15fc19-7d7d-44ad-8c2d-2c3a37ce22c3}">
        <chartProps xmlns="https://web.wps.cn/et/2018/main" chartId="{33df1013-8c71-4437-a0d6-a9b9a3c4fc4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lineMarker"/>
        <c:varyColors val="0"/>
        <c:ser>
          <c:idx val="0"/>
          <c:order val="0"/>
          <c:tx>
            <c:strRef>
              <c:f>'浇口冻结测试Gate freezing test'!$C$20</c:f>
              <c:strCache>
                <c:ptCount val="1"/>
                <c:pt idx="0">
                  <c:v>零件重量
Part weight(g)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'浇口冻结测试Gate freezing test'!$B$21:$B$30</c:f>
              <c:numCache>
                <c:formatCode>General</c:formatCode>
                <c:ptCount val="10"/>
                <c:pt idx="0">
                  <c:v>3</c:v>
                </c:pt>
                <c:pt idx="1">
                  <c:v>4</c:v>
                </c:pt>
                <c:pt idx="2">
                  <c:v>5</c:v>
                </c:pt>
                <c:pt idx="3">
                  <c:v>6</c:v>
                </c:pt>
                <c:pt idx="4">
                  <c:v>7</c:v>
                </c:pt>
                <c:pt idx="5">
                  <c:v>8</c:v>
                </c:pt>
                <c:pt idx="6">
                  <c:v>9</c:v>
                </c:pt>
                <c:pt idx="7">
                  <c:v>10</c:v>
                </c:pt>
                <c:pt idx="8">
                  <c:v>11</c:v>
                </c:pt>
                <c:pt idx="9">
                  <c:v>12</c:v>
                </c:pt>
              </c:numCache>
            </c:numRef>
          </c:xVal>
          <c:yVal>
            <c:numRef>
              <c:f>'浇口冻结测试Gate freezing test'!$C$21:$C$30</c:f>
              <c:numCache>
                <c:formatCode>General</c:formatCode>
                <c:ptCount val="10"/>
                <c:pt idx="0">
                  <c:v>327.2</c:v>
                </c:pt>
                <c:pt idx="1">
                  <c:v>328.54</c:v>
                </c:pt>
                <c:pt idx="2">
                  <c:v>330.92</c:v>
                </c:pt>
                <c:pt idx="3">
                  <c:v>332.96</c:v>
                </c:pt>
                <c:pt idx="4">
                  <c:v>333.5</c:v>
                </c:pt>
                <c:pt idx="5">
                  <c:v>334.02</c:v>
                </c:pt>
                <c:pt idx="6">
                  <c:v>334.65</c:v>
                </c:pt>
                <c:pt idx="7">
                  <c:v>335.2</c:v>
                </c:pt>
                <c:pt idx="8">
                  <c:v>335.5</c:v>
                </c:pt>
                <c:pt idx="9">
                  <c:v>335.7</c:v>
                </c:pt>
              </c:numCache>
            </c:numRef>
          </c:yVal>
          <c:smooth val="0"/>
        </c:ser>
        <c:dLbls>
          <c:showLegendKey val="0"/>
          <c:showVal val="0"/>
          <c:showCatName val="0"/>
          <c:showSerName val="0"/>
          <c:showPercent val="0"/>
          <c:showBubbleSize val="0"/>
        </c:dLbls>
        <c:axId val="115669424"/>
        <c:axId val="115669816"/>
      </c:scatterChart>
      <c:valAx>
        <c:axId val="115669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000" b="1" i="0" u="none" strike="noStrike" kern="1200" baseline="0">
                    <a:solidFill>
                      <a:sysClr val="windowText" lastClr="000000">
                        <a:lumMod val="65000"/>
                        <a:lumOff val="35000"/>
                      </a:sysClr>
                    </a:solidFill>
                  </a:rPr>
                  <a:t>保压时间</a:t>
                </a:r>
                <a:r>
                  <a:rPr lang="en-US" altLang="zh-CN" sz="1000" b="1" i="0" u="none" strike="noStrike" kern="1200" baseline="0">
                    <a:solidFill>
                      <a:sysClr val="windowText" lastClr="000000">
                        <a:lumMod val="65000"/>
                        <a:lumOff val="35000"/>
                      </a:sysClr>
                    </a:solidFill>
                  </a:rPr>
                  <a:t>/S</a:t>
                </a:r>
                <a:endParaRPr lang="zh-CN" altLang="en-US" sz="1000" b="1" i="0" u="none" strike="noStrike" kern="1200" baseline="0">
                  <a:solidFill>
                    <a:sysClr val="windowText" lastClr="000000">
                      <a:lumMod val="65000"/>
                      <a:lumOff val="35000"/>
                    </a:sysClr>
                  </a:solidFill>
                </a:endParaRPr>
              </a:p>
            </c:rich>
          </c:tx>
          <c:layout>
            <c:manualLayout>
              <c:xMode val="edge"/>
              <c:yMode val="edge"/>
              <c:x val="0.828763512611771"/>
              <c:y val="0.932821453601022"/>
            </c:manualLayout>
          </c:layout>
          <c:overlay val="0"/>
          <c:spPr>
            <a:noFill/>
            <a:ln>
              <a:noFill/>
            </a:ln>
            <a:effectLst/>
          </c:spPr>
        </c:title>
        <c:numFmt formatCode="General"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crossAx val="115669816"/>
        <c:crosses val="autoZero"/>
        <c:crossBetween val="midCat"/>
      </c:valAx>
      <c:valAx>
        <c:axId val="115669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000" b="1" i="0" u="none" strike="noStrike" kern="1200" baseline="0">
                    <a:solidFill>
                      <a:sysClr val="windowText" lastClr="000000">
                        <a:lumMod val="65000"/>
                        <a:lumOff val="35000"/>
                      </a:sysClr>
                    </a:solidFill>
                  </a:rPr>
                  <a:t>平均产品重量</a:t>
                </a:r>
                <a:r>
                  <a:rPr lang="en-US" altLang="zh-CN" sz="1000" b="1" i="0" u="none" strike="noStrike" kern="1200" baseline="0">
                    <a:solidFill>
                      <a:sysClr val="windowText" lastClr="000000">
                        <a:lumMod val="65000"/>
                        <a:lumOff val="35000"/>
                      </a:sysClr>
                    </a:solidFill>
                  </a:rPr>
                  <a:t>/shot</a:t>
                </a:r>
                <a:endParaRPr lang="en-US" altLang="zh-CN" sz="1000" b="1" i="0" u="none" strike="noStrike" kern="1200" baseline="0">
                  <a:solidFill>
                    <a:sysClr val="windowText" lastClr="000000">
                      <a:lumMod val="65000"/>
                      <a:lumOff val="35000"/>
                    </a:sysClr>
                  </a:solidFill>
                </a:endParaRPr>
              </a:p>
            </c:rich>
          </c:tx>
          <c:layout/>
          <c:overlay val="0"/>
          <c:spPr>
            <a:noFill/>
            <a:ln>
              <a:noFill/>
            </a:ln>
            <a:effectLst/>
          </c:spPr>
        </c:title>
        <c:numFmt formatCode="General"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lang="zh-CN" sz="1050" b="0" i="0" u="none" strike="noStrike" kern="1200" baseline="0">
                <a:solidFill>
                  <a:schemeClr val="tx1">
                    <a:lumMod val="65000"/>
                    <a:lumOff val="35000"/>
                  </a:schemeClr>
                </a:solidFill>
                <a:latin typeface="+mn-lt"/>
                <a:ea typeface="+mn-ea"/>
                <a:cs typeface="+mn-cs"/>
              </a:defRPr>
            </a:pPr>
          </a:p>
        </c:txPr>
        <c:crossAx val="115669424"/>
        <c:crosses val="autoZero"/>
        <c:crossBetween val="midCat"/>
      </c:valAx>
      <c:spPr>
        <a:noFill/>
        <a:ln>
          <a:noFill/>
        </a:ln>
        <a:effectLst/>
      </c:spPr>
    </c:plotArea>
    <c:plotVisOnly val="1"/>
    <c:dispBlanksAs val="gap"/>
    <c:showDLblsOverMax val="0"/>
    <c:extLst>
      <c:ext uri="{0b15fc19-7d7d-44ad-8c2d-2c3a37ce22c3}">
        <chartProps xmlns="https://web.wps.cn/et/2018/main" chartId="{601727c0-e57c-434e-82fc-5ac1162f5dd3}"/>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lineMarker"/>
        <c:varyColors val="0"/>
        <c:ser>
          <c:idx val="0"/>
          <c:order val="0"/>
          <c:tx>
            <c:strRef>
              <c:f>'锁模力优化Optimization of clamping f'!$E$17</c:f>
              <c:strCache>
                <c:ptCount val="1"/>
                <c:pt idx="0">
                  <c:v>产品重量
Part weight
（g）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'锁模力优化Optimization of clamping f'!$D$18:$D$21</c:f>
              <c:numCache>
                <c:formatCode>General</c:formatCode>
                <c:ptCount val="4"/>
                <c:pt idx="0">
                  <c:v>240</c:v>
                </c:pt>
                <c:pt idx="1">
                  <c:v>220</c:v>
                </c:pt>
                <c:pt idx="2">
                  <c:v>215</c:v>
                </c:pt>
                <c:pt idx="3">
                  <c:v>183</c:v>
                </c:pt>
              </c:numCache>
            </c:numRef>
          </c:xVal>
          <c:yVal>
            <c:numRef>
              <c:f>'锁模力优化Optimization of clamping f'!$E$18:$E$21</c:f>
              <c:numCache>
                <c:formatCode>General</c:formatCode>
                <c:ptCount val="4"/>
                <c:pt idx="0">
                  <c:v>335.5</c:v>
                </c:pt>
                <c:pt idx="1">
                  <c:v>335.5</c:v>
                </c:pt>
                <c:pt idx="2">
                  <c:v>338.2</c:v>
                </c:pt>
                <c:pt idx="3">
                  <c:v>341.9</c:v>
                </c:pt>
              </c:numCache>
            </c:numRef>
          </c:yVal>
          <c:smooth val="0"/>
        </c:ser>
        <c:dLbls>
          <c:showLegendKey val="0"/>
          <c:showVal val="0"/>
          <c:showCatName val="0"/>
          <c:showSerName val="0"/>
          <c:showPercent val="0"/>
          <c:showBubbleSize val="0"/>
        </c:dLbls>
        <c:axId val="584317728"/>
        <c:axId val="584320472"/>
      </c:scatterChart>
      <c:valAx>
        <c:axId val="584317728"/>
        <c:scaling>
          <c:orientation val="minMax"/>
          <c:min val="1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锁模力</a:t>
                </a:r>
                <a:endParaRPr lang="zh-CN" altLang="en-US"/>
              </a:p>
            </c:rich>
          </c:tx>
          <c:layout>
            <c:manualLayout>
              <c:xMode val="edge"/>
              <c:yMode val="edge"/>
              <c:x val="0.815178347847862"/>
              <c:y val="0.88634259259259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84320472"/>
        <c:crosses val="autoZero"/>
        <c:crossBetween val="midCat"/>
        <c:majorUnit val="20"/>
        <c:minorUnit val="2"/>
      </c:valAx>
      <c:valAx>
        <c:axId val="584320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产品重量（</a:t>
                </a:r>
                <a:r>
                  <a:rPr lang="en-US" altLang="zh-CN"/>
                  <a:t>g</a:t>
                </a:r>
                <a:r>
                  <a:rPr lang="zh-CN" altLang="en-US"/>
                  <a:t>）</a:t>
                </a:r>
                <a:endParaRPr lang="zh-CN" altLang="en-US"/>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84317728"/>
        <c:crossesAt val="20"/>
        <c:crossBetween val="midCat"/>
      </c:valAx>
      <c:spPr>
        <a:noFill/>
        <a:ln>
          <a:noFill/>
        </a:ln>
        <a:effectLst/>
      </c:spPr>
    </c:plotArea>
    <c:plotVisOnly val="1"/>
    <c:dispBlanksAs val="gap"/>
    <c:showDLblsOverMax val="0"/>
    <c:extLst>
      <c:ext uri="{0b15fc19-7d7d-44ad-8c2d-2c3a37ce22c3}">
        <chartProps xmlns="https://web.wps.cn/et/2018/main" chartId="{9ee9caac-3b6e-4482-a7ac-dbb7e28deb8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image" Target="../media/image4.svg"/><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464820</xdr:colOff>
      <xdr:row>2</xdr:row>
      <xdr:rowOff>60960</xdr:rowOff>
    </xdr:from>
    <xdr:to>
      <xdr:col>1</xdr:col>
      <xdr:colOff>861060</xdr:colOff>
      <xdr:row>2</xdr:row>
      <xdr:rowOff>457200</xdr:rowOff>
    </xdr:to>
    <xdr:pic>
      <xdr:nvPicPr>
        <xdr:cNvPr id="3" name="图形 2"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091690" y="2011680"/>
          <a:ext cx="396240" cy="396240"/>
        </a:xfrm>
        <a:prstGeom prst="rect">
          <a:avLst/>
        </a:prstGeom>
      </xdr:spPr>
    </xdr:pic>
    <xdr:clientData/>
  </xdr:twoCellAnchor>
  <xdr:twoCellAnchor editAs="oneCell">
    <xdr:from>
      <xdr:col>4</xdr:col>
      <xdr:colOff>441960</xdr:colOff>
      <xdr:row>2</xdr:row>
      <xdr:rowOff>38100</xdr:rowOff>
    </xdr:from>
    <xdr:to>
      <xdr:col>4</xdr:col>
      <xdr:colOff>838200</xdr:colOff>
      <xdr:row>2</xdr:row>
      <xdr:rowOff>434340</xdr:rowOff>
    </xdr:to>
    <xdr:pic>
      <xdr:nvPicPr>
        <xdr:cNvPr id="2" name="图形 1"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398260" y="1988820"/>
          <a:ext cx="396240" cy="396240"/>
        </a:xfrm>
        <a:prstGeom prst="rect">
          <a:avLst/>
        </a:prstGeom>
      </xdr:spPr>
    </xdr:pic>
    <xdr:clientData/>
  </xdr:twoCellAnchor>
  <xdr:twoCellAnchor editAs="oneCell">
    <xdr:from>
      <xdr:col>1</xdr:col>
      <xdr:colOff>449580</xdr:colOff>
      <xdr:row>5</xdr:row>
      <xdr:rowOff>106680</xdr:rowOff>
    </xdr:from>
    <xdr:to>
      <xdr:col>1</xdr:col>
      <xdr:colOff>845820</xdr:colOff>
      <xdr:row>5</xdr:row>
      <xdr:rowOff>502920</xdr:rowOff>
    </xdr:to>
    <xdr:pic>
      <xdr:nvPicPr>
        <xdr:cNvPr id="4" name="图形 3"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076450" y="4679315"/>
          <a:ext cx="396240" cy="396240"/>
        </a:xfrm>
        <a:prstGeom prst="rect">
          <a:avLst/>
        </a:prstGeom>
      </xdr:spPr>
    </xdr:pic>
    <xdr:clientData/>
  </xdr:twoCellAnchor>
  <xdr:twoCellAnchor editAs="oneCell">
    <xdr:from>
      <xdr:col>1</xdr:col>
      <xdr:colOff>457200</xdr:colOff>
      <xdr:row>7</xdr:row>
      <xdr:rowOff>106680</xdr:rowOff>
    </xdr:from>
    <xdr:to>
      <xdr:col>1</xdr:col>
      <xdr:colOff>853440</xdr:colOff>
      <xdr:row>7</xdr:row>
      <xdr:rowOff>502920</xdr:rowOff>
    </xdr:to>
    <xdr:pic>
      <xdr:nvPicPr>
        <xdr:cNvPr id="5" name="图形 4"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084070" y="6027420"/>
          <a:ext cx="396240" cy="396240"/>
        </a:xfrm>
        <a:prstGeom prst="rect">
          <a:avLst/>
        </a:prstGeom>
      </xdr:spPr>
    </xdr:pic>
    <xdr:clientData/>
  </xdr:twoCellAnchor>
  <xdr:twoCellAnchor editAs="oneCell">
    <xdr:from>
      <xdr:col>1</xdr:col>
      <xdr:colOff>480060</xdr:colOff>
      <xdr:row>6</xdr:row>
      <xdr:rowOff>106680</xdr:rowOff>
    </xdr:from>
    <xdr:to>
      <xdr:col>1</xdr:col>
      <xdr:colOff>876300</xdr:colOff>
      <xdr:row>6</xdr:row>
      <xdr:rowOff>502920</xdr:rowOff>
    </xdr:to>
    <xdr:pic>
      <xdr:nvPicPr>
        <xdr:cNvPr id="6" name="图形 5"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106930" y="5365115"/>
          <a:ext cx="396240" cy="396240"/>
        </a:xfrm>
        <a:prstGeom prst="rect">
          <a:avLst/>
        </a:prstGeom>
      </xdr:spPr>
    </xdr:pic>
    <xdr:clientData/>
  </xdr:twoCellAnchor>
  <xdr:twoCellAnchor editAs="oneCell">
    <xdr:from>
      <xdr:col>1</xdr:col>
      <xdr:colOff>525087</xdr:colOff>
      <xdr:row>4</xdr:row>
      <xdr:rowOff>405938</xdr:rowOff>
    </xdr:from>
    <xdr:to>
      <xdr:col>1</xdr:col>
      <xdr:colOff>921327</xdr:colOff>
      <xdr:row>4</xdr:row>
      <xdr:rowOff>802178</xdr:rowOff>
    </xdr:to>
    <xdr:pic>
      <xdr:nvPicPr>
        <xdr:cNvPr id="7" name="图形 6"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151380" y="3568700"/>
          <a:ext cx="396240" cy="396240"/>
        </a:xfrm>
        <a:prstGeom prst="rect">
          <a:avLst/>
        </a:prstGeom>
      </xdr:spPr>
    </xdr:pic>
    <xdr:clientData/>
  </xdr:twoCellAnchor>
  <xdr:twoCellAnchor editAs="oneCell">
    <xdr:from>
      <xdr:col>1</xdr:col>
      <xdr:colOff>419100</xdr:colOff>
      <xdr:row>3</xdr:row>
      <xdr:rowOff>121920</xdr:rowOff>
    </xdr:from>
    <xdr:to>
      <xdr:col>1</xdr:col>
      <xdr:colOff>815340</xdr:colOff>
      <xdr:row>3</xdr:row>
      <xdr:rowOff>518160</xdr:rowOff>
    </xdr:to>
    <xdr:pic>
      <xdr:nvPicPr>
        <xdr:cNvPr id="8" name="图形 7"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2045970" y="2599055"/>
          <a:ext cx="396240" cy="396240"/>
        </a:xfrm>
        <a:prstGeom prst="rect">
          <a:avLst/>
        </a:prstGeom>
      </xdr:spPr>
    </xdr:pic>
    <xdr:clientData/>
  </xdr:twoCellAnchor>
  <xdr:twoCellAnchor editAs="oneCell">
    <xdr:from>
      <xdr:col>2</xdr:col>
      <xdr:colOff>427412</xdr:colOff>
      <xdr:row>3</xdr:row>
      <xdr:rowOff>114300</xdr:rowOff>
    </xdr:from>
    <xdr:to>
      <xdr:col>2</xdr:col>
      <xdr:colOff>823652</xdr:colOff>
      <xdr:row>3</xdr:row>
      <xdr:rowOff>510540</xdr:rowOff>
    </xdr:to>
    <xdr:pic>
      <xdr:nvPicPr>
        <xdr:cNvPr id="9" name="图形 8"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3681095" y="2591435"/>
          <a:ext cx="396240" cy="396240"/>
        </a:xfrm>
        <a:prstGeom prst="rect">
          <a:avLst/>
        </a:prstGeom>
      </xdr:spPr>
    </xdr:pic>
    <xdr:clientData/>
  </xdr:twoCellAnchor>
  <xdr:twoCellAnchor editAs="oneCell">
    <xdr:from>
      <xdr:col>5</xdr:col>
      <xdr:colOff>350520</xdr:colOff>
      <xdr:row>3</xdr:row>
      <xdr:rowOff>91440</xdr:rowOff>
    </xdr:from>
    <xdr:to>
      <xdr:col>5</xdr:col>
      <xdr:colOff>746760</xdr:colOff>
      <xdr:row>3</xdr:row>
      <xdr:rowOff>487680</xdr:rowOff>
    </xdr:to>
    <xdr:pic>
      <xdr:nvPicPr>
        <xdr:cNvPr id="11" name="图形 10"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7711440" y="2568575"/>
          <a:ext cx="396240" cy="396240"/>
        </a:xfrm>
        <a:prstGeom prst="rect">
          <a:avLst/>
        </a:prstGeom>
      </xdr:spPr>
    </xdr:pic>
    <xdr:clientData/>
  </xdr:twoCellAnchor>
  <xdr:twoCellAnchor editAs="oneCell">
    <xdr:from>
      <xdr:col>6</xdr:col>
      <xdr:colOff>350520</xdr:colOff>
      <xdr:row>3</xdr:row>
      <xdr:rowOff>76200</xdr:rowOff>
    </xdr:from>
    <xdr:to>
      <xdr:col>6</xdr:col>
      <xdr:colOff>746760</xdr:colOff>
      <xdr:row>3</xdr:row>
      <xdr:rowOff>472440</xdr:rowOff>
    </xdr:to>
    <xdr:pic>
      <xdr:nvPicPr>
        <xdr:cNvPr id="12" name="图形 11"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8911590" y="2553335"/>
          <a:ext cx="396240" cy="396240"/>
        </a:xfrm>
        <a:prstGeom prst="rect">
          <a:avLst/>
        </a:prstGeom>
      </xdr:spPr>
    </xdr:pic>
    <xdr:clientData/>
  </xdr:twoCellAnchor>
  <xdr:twoCellAnchor editAs="oneCell">
    <xdr:from>
      <xdr:col>7</xdr:col>
      <xdr:colOff>358140</xdr:colOff>
      <xdr:row>3</xdr:row>
      <xdr:rowOff>91440</xdr:rowOff>
    </xdr:from>
    <xdr:to>
      <xdr:col>7</xdr:col>
      <xdr:colOff>754380</xdr:colOff>
      <xdr:row>3</xdr:row>
      <xdr:rowOff>487680</xdr:rowOff>
    </xdr:to>
    <xdr:pic>
      <xdr:nvPicPr>
        <xdr:cNvPr id="13" name="图形 12"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0217150" y="2568575"/>
          <a:ext cx="396240" cy="396240"/>
        </a:xfrm>
        <a:prstGeom prst="rect">
          <a:avLst/>
        </a:prstGeom>
      </xdr:spPr>
    </xdr:pic>
    <xdr:clientData/>
  </xdr:twoCellAnchor>
  <xdr:twoCellAnchor editAs="oneCell">
    <xdr:from>
      <xdr:col>4</xdr:col>
      <xdr:colOff>441960</xdr:colOff>
      <xdr:row>3</xdr:row>
      <xdr:rowOff>99060</xdr:rowOff>
    </xdr:from>
    <xdr:to>
      <xdr:col>4</xdr:col>
      <xdr:colOff>838200</xdr:colOff>
      <xdr:row>3</xdr:row>
      <xdr:rowOff>495300</xdr:rowOff>
    </xdr:to>
    <xdr:pic>
      <xdr:nvPicPr>
        <xdr:cNvPr id="14" name="图形 13"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398260" y="2576195"/>
          <a:ext cx="396240" cy="396240"/>
        </a:xfrm>
        <a:prstGeom prst="rect">
          <a:avLst/>
        </a:prstGeom>
      </xdr:spPr>
    </xdr:pic>
    <xdr:clientData/>
  </xdr:twoCellAnchor>
  <xdr:twoCellAnchor editAs="oneCell">
    <xdr:from>
      <xdr:col>2</xdr:col>
      <xdr:colOff>404553</xdr:colOff>
      <xdr:row>4</xdr:row>
      <xdr:rowOff>448887</xdr:rowOff>
    </xdr:from>
    <xdr:to>
      <xdr:col>2</xdr:col>
      <xdr:colOff>884613</xdr:colOff>
      <xdr:row>4</xdr:row>
      <xdr:rowOff>928947</xdr:rowOff>
    </xdr:to>
    <xdr:pic>
      <xdr:nvPicPr>
        <xdr:cNvPr id="17" name="图形 16"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3658235" y="3611245"/>
          <a:ext cx="480060" cy="480060"/>
        </a:xfrm>
        <a:prstGeom prst="rect">
          <a:avLst/>
        </a:prstGeom>
      </xdr:spPr>
    </xdr:pic>
    <xdr:clientData/>
  </xdr:twoCellAnchor>
  <xdr:twoCellAnchor editAs="oneCell">
    <xdr:from>
      <xdr:col>2</xdr:col>
      <xdr:colOff>360218</xdr:colOff>
      <xdr:row>2</xdr:row>
      <xdr:rowOff>15240</xdr:rowOff>
    </xdr:from>
    <xdr:to>
      <xdr:col>2</xdr:col>
      <xdr:colOff>847898</xdr:colOff>
      <xdr:row>2</xdr:row>
      <xdr:rowOff>502920</xdr:rowOff>
    </xdr:to>
    <xdr:pic>
      <xdr:nvPicPr>
        <xdr:cNvPr id="19" name="图形 18"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3613785" y="1965960"/>
          <a:ext cx="487680" cy="487680"/>
        </a:xfrm>
        <a:prstGeom prst="rect">
          <a:avLst/>
        </a:prstGeom>
      </xdr:spPr>
    </xdr:pic>
    <xdr:clientData/>
  </xdr:twoCellAnchor>
  <xdr:twoCellAnchor editAs="oneCell">
    <xdr:from>
      <xdr:col>4</xdr:col>
      <xdr:colOff>510540</xdr:colOff>
      <xdr:row>5</xdr:row>
      <xdr:rowOff>111035</xdr:rowOff>
    </xdr:from>
    <xdr:to>
      <xdr:col>4</xdr:col>
      <xdr:colOff>906780</xdr:colOff>
      <xdr:row>5</xdr:row>
      <xdr:rowOff>507275</xdr:rowOff>
    </xdr:to>
    <xdr:pic>
      <xdr:nvPicPr>
        <xdr:cNvPr id="24" name="图形 23"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466840" y="4683125"/>
          <a:ext cx="396240" cy="396240"/>
        </a:xfrm>
        <a:prstGeom prst="rect">
          <a:avLst/>
        </a:prstGeom>
      </xdr:spPr>
    </xdr:pic>
    <xdr:clientData/>
  </xdr:twoCellAnchor>
  <xdr:twoCellAnchor editAs="oneCell">
    <xdr:from>
      <xdr:col>4</xdr:col>
      <xdr:colOff>388620</xdr:colOff>
      <xdr:row>6</xdr:row>
      <xdr:rowOff>22860</xdr:rowOff>
    </xdr:from>
    <xdr:to>
      <xdr:col>4</xdr:col>
      <xdr:colOff>914400</xdr:colOff>
      <xdr:row>6</xdr:row>
      <xdr:rowOff>548640</xdr:rowOff>
    </xdr:to>
    <xdr:pic>
      <xdr:nvPicPr>
        <xdr:cNvPr id="25" name="图形 24"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6344920" y="5281295"/>
          <a:ext cx="525780" cy="525780"/>
        </a:xfrm>
        <a:prstGeom prst="rect">
          <a:avLst/>
        </a:prstGeom>
      </xdr:spPr>
    </xdr:pic>
    <xdr:clientData/>
  </xdr:twoCellAnchor>
  <xdr:twoCellAnchor editAs="oneCell">
    <xdr:from>
      <xdr:col>2</xdr:col>
      <xdr:colOff>388620</xdr:colOff>
      <xdr:row>6</xdr:row>
      <xdr:rowOff>114300</xdr:rowOff>
    </xdr:from>
    <xdr:to>
      <xdr:col>2</xdr:col>
      <xdr:colOff>784860</xdr:colOff>
      <xdr:row>6</xdr:row>
      <xdr:rowOff>510540</xdr:rowOff>
    </xdr:to>
    <xdr:pic>
      <xdr:nvPicPr>
        <xdr:cNvPr id="26" name="图形 25"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3642360" y="5372735"/>
          <a:ext cx="396240" cy="396240"/>
        </a:xfrm>
        <a:prstGeom prst="rect">
          <a:avLst/>
        </a:prstGeom>
      </xdr:spPr>
    </xdr:pic>
    <xdr:clientData/>
  </xdr:twoCellAnchor>
  <xdr:twoCellAnchor editAs="oneCell">
    <xdr:from>
      <xdr:col>2</xdr:col>
      <xdr:colOff>373380</xdr:colOff>
      <xdr:row>7</xdr:row>
      <xdr:rowOff>129540</xdr:rowOff>
    </xdr:from>
    <xdr:to>
      <xdr:col>2</xdr:col>
      <xdr:colOff>769620</xdr:colOff>
      <xdr:row>7</xdr:row>
      <xdr:rowOff>525780</xdr:rowOff>
    </xdr:to>
    <xdr:pic>
      <xdr:nvPicPr>
        <xdr:cNvPr id="27" name="图形 26"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3627120" y="6050280"/>
          <a:ext cx="396240" cy="396240"/>
        </a:xfrm>
        <a:prstGeom prst="rect">
          <a:avLst/>
        </a:prstGeom>
      </xdr:spPr>
    </xdr:pic>
    <xdr:clientData/>
  </xdr:twoCellAnchor>
  <xdr:twoCellAnchor editAs="oneCell">
    <xdr:from>
      <xdr:col>4</xdr:col>
      <xdr:colOff>462841</xdr:colOff>
      <xdr:row>4</xdr:row>
      <xdr:rowOff>504305</xdr:rowOff>
    </xdr:from>
    <xdr:to>
      <xdr:col>4</xdr:col>
      <xdr:colOff>859081</xdr:colOff>
      <xdr:row>4</xdr:row>
      <xdr:rowOff>900545</xdr:rowOff>
    </xdr:to>
    <xdr:pic>
      <xdr:nvPicPr>
        <xdr:cNvPr id="28" name="图形 27"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418580" y="3667125"/>
          <a:ext cx="396240" cy="396240"/>
        </a:xfrm>
        <a:prstGeom prst="rect">
          <a:avLst/>
        </a:prstGeom>
      </xdr:spPr>
    </xdr:pic>
    <xdr:clientData/>
  </xdr:twoCellAnchor>
  <xdr:twoCellAnchor editAs="oneCell">
    <xdr:from>
      <xdr:col>4</xdr:col>
      <xdr:colOff>495300</xdr:colOff>
      <xdr:row>7</xdr:row>
      <xdr:rowOff>129540</xdr:rowOff>
    </xdr:from>
    <xdr:to>
      <xdr:col>4</xdr:col>
      <xdr:colOff>891540</xdr:colOff>
      <xdr:row>7</xdr:row>
      <xdr:rowOff>525780</xdr:rowOff>
    </xdr:to>
    <xdr:pic>
      <xdr:nvPicPr>
        <xdr:cNvPr id="29" name="图形 28"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451600" y="6050280"/>
          <a:ext cx="396240" cy="396240"/>
        </a:xfrm>
        <a:prstGeom prst="rect">
          <a:avLst/>
        </a:prstGeom>
      </xdr:spPr>
    </xdr:pic>
    <xdr:clientData/>
  </xdr:twoCellAnchor>
  <xdr:twoCellAnchor editAs="oneCell">
    <xdr:from>
      <xdr:col>5</xdr:col>
      <xdr:colOff>297180</xdr:colOff>
      <xdr:row>2</xdr:row>
      <xdr:rowOff>7620</xdr:rowOff>
    </xdr:from>
    <xdr:to>
      <xdr:col>5</xdr:col>
      <xdr:colOff>784860</xdr:colOff>
      <xdr:row>2</xdr:row>
      <xdr:rowOff>495300</xdr:rowOff>
    </xdr:to>
    <xdr:pic>
      <xdr:nvPicPr>
        <xdr:cNvPr id="30" name="图形 29"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658100" y="1958340"/>
          <a:ext cx="487680" cy="487680"/>
        </a:xfrm>
        <a:prstGeom prst="rect">
          <a:avLst/>
        </a:prstGeom>
      </xdr:spPr>
    </xdr:pic>
    <xdr:clientData/>
  </xdr:twoCellAnchor>
  <xdr:twoCellAnchor editAs="oneCell">
    <xdr:from>
      <xdr:col>6</xdr:col>
      <xdr:colOff>312420</xdr:colOff>
      <xdr:row>2</xdr:row>
      <xdr:rowOff>7620</xdr:rowOff>
    </xdr:from>
    <xdr:to>
      <xdr:col>6</xdr:col>
      <xdr:colOff>800100</xdr:colOff>
      <xdr:row>2</xdr:row>
      <xdr:rowOff>495300</xdr:rowOff>
    </xdr:to>
    <xdr:pic>
      <xdr:nvPicPr>
        <xdr:cNvPr id="31" name="图形 30"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8873490" y="1958340"/>
          <a:ext cx="487680" cy="487680"/>
        </a:xfrm>
        <a:prstGeom prst="rect">
          <a:avLst/>
        </a:prstGeom>
      </xdr:spPr>
    </xdr:pic>
    <xdr:clientData/>
  </xdr:twoCellAnchor>
  <xdr:twoCellAnchor editAs="oneCell">
    <xdr:from>
      <xdr:col>7</xdr:col>
      <xdr:colOff>274320</xdr:colOff>
      <xdr:row>2</xdr:row>
      <xdr:rowOff>0</xdr:rowOff>
    </xdr:from>
    <xdr:to>
      <xdr:col>7</xdr:col>
      <xdr:colOff>762000</xdr:colOff>
      <xdr:row>2</xdr:row>
      <xdr:rowOff>487680</xdr:rowOff>
    </xdr:to>
    <xdr:pic>
      <xdr:nvPicPr>
        <xdr:cNvPr id="32" name="图形 31"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10133330" y="1950720"/>
          <a:ext cx="487680" cy="487680"/>
        </a:xfrm>
        <a:prstGeom prst="rect">
          <a:avLst/>
        </a:prstGeom>
      </xdr:spPr>
    </xdr:pic>
    <xdr:clientData/>
  </xdr:twoCellAnchor>
  <xdr:twoCellAnchor editAs="oneCell">
    <xdr:from>
      <xdr:col>5</xdr:col>
      <xdr:colOff>341514</xdr:colOff>
      <xdr:row>4</xdr:row>
      <xdr:rowOff>446116</xdr:rowOff>
    </xdr:from>
    <xdr:to>
      <xdr:col>5</xdr:col>
      <xdr:colOff>829194</xdr:colOff>
      <xdr:row>4</xdr:row>
      <xdr:rowOff>933796</xdr:rowOff>
    </xdr:to>
    <xdr:pic>
      <xdr:nvPicPr>
        <xdr:cNvPr id="33" name="图形 32"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701915" y="3608705"/>
          <a:ext cx="487680" cy="487680"/>
        </a:xfrm>
        <a:prstGeom prst="rect">
          <a:avLst/>
        </a:prstGeom>
      </xdr:spPr>
    </xdr:pic>
    <xdr:clientData/>
  </xdr:twoCellAnchor>
  <xdr:twoCellAnchor editAs="oneCell">
    <xdr:from>
      <xdr:col>6</xdr:col>
      <xdr:colOff>383079</xdr:colOff>
      <xdr:row>4</xdr:row>
      <xdr:rowOff>437111</xdr:rowOff>
    </xdr:from>
    <xdr:to>
      <xdr:col>6</xdr:col>
      <xdr:colOff>870759</xdr:colOff>
      <xdr:row>4</xdr:row>
      <xdr:rowOff>924791</xdr:rowOff>
    </xdr:to>
    <xdr:pic>
      <xdr:nvPicPr>
        <xdr:cNvPr id="34" name="图形 33"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8943975" y="3599815"/>
          <a:ext cx="487680" cy="487680"/>
        </a:xfrm>
        <a:prstGeom prst="rect">
          <a:avLst/>
        </a:prstGeom>
      </xdr:spPr>
    </xdr:pic>
    <xdr:clientData/>
  </xdr:twoCellAnchor>
  <xdr:twoCellAnchor editAs="oneCell">
    <xdr:from>
      <xdr:col>7</xdr:col>
      <xdr:colOff>312420</xdr:colOff>
      <xdr:row>4</xdr:row>
      <xdr:rowOff>472440</xdr:rowOff>
    </xdr:from>
    <xdr:to>
      <xdr:col>7</xdr:col>
      <xdr:colOff>800100</xdr:colOff>
      <xdr:row>4</xdr:row>
      <xdr:rowOff>960120</xdr:rowOff>
    </xdr:to>
    <xdr:pic>
      <xdr:nvPicPr>
        <xdr:cNvPr id="36" name="图形 35"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10171430" y="3635375"/>
          <a:ext cx="487680" cy="487680"/>
        </a:xfrm>
        <a:prstGeom prst="rect">
          <a:avLst/>
        </a:prstGeom>
      </xdr:spPr>
    </xdr:pic>
    <xdr:clientData/>
  </xdr:twoCellAnchor>
  <xdr:twoCellAnchor editAs="oneCell">
    <xdr:from>
      <xdr:col>5</xdr:col>
      <xdr:colOff>289560</xdr:colOff>
      <xdr:row>5</xdr:row>
      <xdr:rowOff>106680</xdr:rowOff>
    </xdr:from>
    <xdr:to>
      <xdr:col>5</xdr:col>
      <xdr:colOff>777240</xdr:colOff>
      <xdr:row>5</xdr:row>
      <xdr:rowOff>594360</xdr:rowOff>
    </xdr:to>
    <xdr:pic>
      <xdr:nvPicPr>
        <xdr:cNvPr id="10" name="图形 9"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650480" y="4679315"/>
          <a:ext cx="487680" cy="487680"/>
        </a:xfrm>
        <a:prstGeom prst="rect">
          <a:avLst/>
        </a:prstGeom>
      </xdr:spPr>
    </xdr:pic>
    <xdr:clientData/>
  </xdr:twoCellAnchor>
  <xdr:twoCellAnchor editAs="oneCell">
    <xdr:from>
      <xdr:col>6</xdr:col>
      <xdr:colOff>320040</xdr:colOff>
      <xdr:row>5</xdr:row>
      <xdr:rowOff>53340</xdr:rowOff>
    </xdr:from>
    <xdr:to>
      <xdr:col>6</xdr:col>
      <xdr:colOff>807720</xdr:colOff>
      <xdr:row>5</xdr:row>
      <xdr:rowOff>541020</xdr:rowOff>
    </xdr:to>
    <xdr:pic>
      <xdr:nvPicPr>
        <xdr:cNvPr id="15" name="图形 14"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8881110" y="4625975"/>
          <a:ext cx="487680" cy="487680"/>
        </a:xfrm>
        <a:prstGeom prst="rect">
          <a:avLst/>
        </a:prstGeom>
      </xdr:spPr>
    </xdr:pic>
    <xdr:clientData/>
  </xdr:twoCellAnchor>
  <xdr:twoCellAnchor editAs="oneCell">
    <xdr:from>
      <xdr:col>7</xdr:col>
      <xdr:colOff>281940</xdr:colOff>
      <xdr:row>5</xdr:row>
      <xdr:rowOff>76200</xdr:rowOff>
    </xdr:from>
    <xdr:to>
      <xdr:col>7</xdr:col>
      <xdr:colOff>769620</xdr:colOff>
      <xdr:row>5</xdr:row>
      <xdr:rowOff>563880</xdr:rowOff>
    </xdr:to>
    <xdr:pic>
      <xdr:nvPicPr>
        <xdr:cNvPr id="16" name="图形 15"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10140950" y="4648835"/>
          <a:ext cx="487680" cy="487680"/>
        </a:xfrm>
        <a:prstGeom prst="rect">
          <a:avLst/>
        </a:prstGeom>
      </xdr:spPr>
    </xdr:pic>
    <xdr:clientData/>
  </xdr:twoCellAnchor>
  <xdr:twoCellAnchor editAs="oneCell">
    <xdr:from>
      <xdr:col>5</xdr:col>
      <xdr:colOff>350520</xdr:colOff>
      <xdr:row>6</xdr:row>
      <xdr:rowOff>137160</xdr:rowOff>
    </xdr:from>
    <xdr:to>
      <xdr:col>5</xdr:col>
      <xdr:colOff>746760</xdr:colOff>
      <xdr:row>6</xdr:row>
      <xdr:rowOff>533400</xdr:rowOff>
    </xdr:to>
    <xdr:pic>
      <xdr:nvPicPr>
        <xdr:cNvPr id="18" name="图形 17"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7711440" y="5395595"/>
          <a:ext cx="396240" cy="396240"/>
        </a:xfrm>
        <a:prstGeom prst="rect">
          <a:avLst/>
        </a:prstGeom>
      </xdr:spPr>
    </xdr:pic>
    <xdr:clientData/>
  </xdr:twoCellAnchor>
  <xdr:twoCellAnchor editAs="oneCell">
    <xdr:from>
      <xdr:col>6</xdr:col>
      <xdr:colOff>365760</xdr:colOff>
      <xdr:row>6</xdr:row>
      <xdr:rowOff>121920</xdr:rowOff>
    </xdr:from>
    <xdr:to>
      <xdr:col>6</xdr:col>
      <xdr:colOff>762000</xdr:colOff>
      <xdr:row>6</xdr:row>
      <xdr:rowOff>518160</xdr:rowOff>
    </xdr:to>
    <xdr:pic>
      <xdr:nvPicPr>
        <xdr:cNvPr id="20" name="图形 19"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8926830" y="5380355"/>
          <a:ext cx="396240" cy="396240"/>
        </a:xfrm>
        <a:prstGeom prst="rect">
          <a:avLst/>
        </a:prstGeom>
      </xdr:spPr>
    </xdr:pic>
    <xdr:clientData/>
  </xdr:twoCellAnchor>
  <xdr:twoCellAnchor editAs="oneCell">
    <xdr:from>
      <xdr:col>7</xdr:col>
      <xdr:colOff>358140</xdr:colOff>
      <xdr:row>6</xdr:row>
      <xdr:rowOff>99060</xdr:rowOff>
    </xdr:from>
    <xdr:to>
      <xdr:col>7</xdr:col>
      <xdr:colOff>754380</xdr:colOff>
      <xdr:row>6</xdr:row>
      <xdr:rowOff>495300</xdr:rowOff>
    </xdr:to>
    <xdr:pic>
      <xdr:nvPicPr>
        <xdr:cNvPr id="21" name="图形 20"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0217150" y="5357495"/>
          <a:ext cx="396240" cy="396240"/>
        </a:xfrm>
        <a:prstGeom prst="rect">
          <a:avLst/>
        </a:prstGeom>
      </xdr:spPr>
    </xdr:pic>
    <xdr:clientData/>
  </xdr:twoCellAnchor>
  <xdr:twoCellAnchor editAs="oneCell">
    <xdr:from>
      <xdr:col>2</xdr:col>
      <xdr:colOff>335280</xdr:colOff>
      <xdr:row>5</xdr:row>
      <xdr:rowOff>53340</xdr:rowOff>
    </xdr:from>
    <xdr:to>
      <xdr:col>2</xdr:col>
      <xdr:colOff>822960</xdr:colOff>
      <xdr:row>5</xdr:row>
      <xdr:rowOff>541020</xdr:rowOff>
    </xdr:to>
    <xdr:pic>
      <xdr:nvPicPr>
        <xdr:cNvPr id="23" name="图形 22" descr="关闭 纯色填充"/>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3589020" y="4625975"/>
          <a:ext cx="487680" cy="487680"/>
        </a:xfrm>
        <a:prstGeom prst="rect">
          <a:avLst/>
        </a:prstGeom>
      </xdr:spPr>
    </xdr:pic>
    <xdr:clientData/>
  </xdr:twoCellAnchor>
  <xdr:twoCellAnchor editAs="oneCell">
    <xdr:from>
      <xdr:col>5</xdr:col>
      <xdr:colOff>358140</xdr:colOff>
      <xdr:row>7</xdr:row>
      <xdr:rowOff>99060</xdr:rowOff>
    </xdr:from>
    <xdr:to>
      <xdr:col>5</xdr:col>
      <xdr:colOff>754380</xdr:colOff>
      <xdr:row>7</xdr:row>
      <xdr:rowOff>495300</xdr:rowOff>
    </xdr:to>
    <xdr:pic>
      <xdr:nvPicPr>
        <xdr:cNvPr id="22" name="图形 21"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7719060" y="6019800"/>
          <a:ext cx="396240" cy="396240"/>
        </a:xfrm>
        <a:prstGeom prst="rect">
          <a:avLst/>
        </a:prstGeom>
      </xdr:spPr>
    </xdr:pic>
    <xdr:clientData/>
  </xdr:twoCellAnchor>
  <xdr:twoCellAnchor editAs="oneCell">
    <xdr:from>
      <xdr:col>6</xdr:col>
      <xdr:colOff>373380</xdr:colOff>
      <xdr:row>7</xdr:row>
      <xdr:rowOff>83820</xdr:rowOff>
    </xdr:from>
    <xdr:to>
      <xdr:col>6</xdr:col>
      <xdr:colOff>769620</xdr:colOff>
      <xdr:row>7</xdr:row>
      <xdr:rowOff>480060</xdr:rowOff>
    </xdr:to>
    <xdr:pic>
      <xdr:nvPicPr>
        <xdr:cNvPr id="35" name="图形 34"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8934450" y="6004560"/>
          <a:ext cx="396240" cy="396240"/>
        </a:xfrm>
        <a:prstGeom prst="rect">
          <a:avLst/>
        </a:prstGeom>
      </xdr:spPr>
    </xdr:pic>
    <xdr:clientData/>
  </xdr:twoCellAnchor>
  <xdr:twoCellAnchor editAs="oneCell">
    <xdr:from>
      <xdr:col>7</xdr:col>
      <xdr:colOff>373380</xdr:colOff>
      <xdr:row>7</xdr:row>
      <xdr:rowOff>76200</xdr:rowOff>
    </xdr:from>
    <xdr:to>
      <xdr:col>7</xdr:col>
      <xdr:colOff>769620</xdr:colOff>
      <xdr:row>7</xdr:row>
      <xdr:rowOff>472440</xdr:rowOff>
    </xdr:to>
    <xdr:pic>
      <xdr:nvPicPr>
        <xdr:cNvPr id="37" name="图形 36" descr="复选标记 纯色填充"/>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0232390" y="5996940"/>
          <a:ext cx="396240" cy="3962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364440</xdr:colOff>
      <xdr:row>36</xdr:row>
      <xdr:rowOff>33152</xdr:rowOff>
    </xdr:from>
    <xdr:to>
      <xdr:col>5</xdr:col>
      <xdr:colOff>1093304</xdr:colOff>
      <xdr:row>39</xdr:row>
      <xdr:rowOff>86139</xdr:rowOff>
    </xdr:to>
    <xdr:sp>
      <xdr:nvSpPr>
        <xdr:cNvPr id="13" name="矩形: 圆角 12"/>
        <xdr:cNvSpPr/>
      </xdr:nvSpPr>
      <xdr:spPr>
        <a:xfrm>
          <a:off x="3733165" y="13544550"/>
          <a:ext cx="3040380" cy="562610"/>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eaLnBrk="0" fontAlgn="base" hangingPunct="0"/>
          <a:r>
            <a:rPr lang="zh-CN" altLang="en-US" sz="1000" b="1">
              <a:effectLst/>
            </a:rPr>
            <a:t>优化模具或产品</a:t>
          </a:r>
          <a:endParaRPr lang="en-US" altLang="zh-CN" sz="1000" b="1">
            <a:effectLst/>
          </a:endParaRPr>
        </a:p>
        <a:p>
          <a:pPr algn="ctr" eaLnBrk="0" fontAlgn="base" hangingPunct="0"/>
          <a:r>
            <a:rPr lang="en-US" sz="1000" b="1" i="0" kern="1200">
              <a:solidFill>
                <a:schemeClr val="tx1"/>
              </a:solidFill>
              <a:effectLst/>
              <a:latin typeface="+mn-lt"/>
              <a:ea typeface="+mn-ea"/>
              <a:cs typeface="+mn-cs"/>
            </a:rPr>
            <a:t>Optimize the mold or product</a:t>
          </a:r>
          <a:endParaRPr lang="en-US" sz="1000" b="1">
            <a:effectLst/>
          </a:endParaRPr>
        </a:p>
      </xdr:txBody>
    </xdr:sp>
    <xdr:clientData/>
  </xdr:twoCellAnchor>
  <xdr:twoCellAnchor>
    <xdr:from>
      <xdr:col>0</xdr:col>
      <xdr:colOff>106020</xdr:colOff>
      <xdr:row>42</xdr:row>
      <xdr:rowOff>198805</xdr:rowOff>
    </xdr:from>
    <xdr:to>
      <xdr:col>11</xdr:col>
      <xdr:colOff>1060178</xdr:colOff>
      <xdr:row>42</xdr:row>
      <xdr:rowOff>1621972</xdr:rowOff>
    </xdr:to>
    <xdr:grpSp>
      <xdr:nvGrpSpPr>
        <xdr:cNvPr id="55" name="组合 54"/>
        <xdr:cNvGrpSpPr/>
      </xdr:nvGrpSpPr>
      <xdr:grpSpPr>
        <a:xfrm>
          <a:off x="105410" y="14677390"/>
          <a:ext cx="11622405" cy="1423035"/>
          <a:chOff x="45194" y="8959221"/>
          <a:chExt cx="8062618" cy="864292"/>
        </a:xfrm>
      </xdr:grpSpPr>
      <xdr:sp>
        <xdr:nvSpPr>
          <xdr:cNvPr id="51" name="矩形: 圆角 50"/>
          <xdr:cNvSpPr/>
        </xdr:nvSpPr>
        <xdr:spPr>
          <a:xfrm>
            <a:off x="45194" y="8975410"/>
            <a:ext cx="544578" cy="837794"/>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开始</a:t>
            </a:r>
            <a:endParaRPr lang="en-US" altLang="zh-CN" sz="1000" b="1">
              <a:effectLst/>
            </a:endParaRPr>
          </a:p>
          <a:p>
            <a:pPr algn="ctr"/>
            <a:r>
              <a:rPr lang="en-US" altLang="zh-CN" sz="900" b="1">
                <a:effectLst/>
              </a:rPr>
              <a:t>Start</a:t>
            </a:r>
            <a:endParaRPr lang="en-US" sz="1100" b="1">
              <a:effectLst/>
            </a:endParaRPr>
          </a:p>
        </xdr:txBody>
      </xdr:sp>
      <xdr:sp>
        <xdr:nvSpPr>
          <xdr:cNvPr id="53" name="矩形: 圆角 52"/>
          <xdr:cNvSpPr/>
        </xdr:nvSpPr>
        <xdr:spPr>
          <a:xfrm>
            <a:off x="1748308" y="8959221"/>
            <a:ext cx="566019" cy="864292"/>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粘度测试</a:t>
            </a:r>
            <a:endParaRPr lang="en-US" altLang="zh-CN" sz="1000" b="1">
              <a:effectLst/>
            </a:endParaRPr>
          </a:p>
          <a:p>
            <a:pPr algn="ctr"/>
            <a:r>
              <a:rPr lang="en-US" sz="1000" b="1">
                <a:effectLst/>
              </a:rPr>
              <a:t>viscosity test</a:t>
            </a:r>
            <a:endParaRPr lang="en-US" sz="1000" b="1">
              <a:effectLst/>
            </a:endParaRPr>
          </a:p>
        </xdr:txBody>
      </xdr:sp>
      <xdr:sp>
        <xdr:nvSpPr>
          <xdr:cNvPr id="57" name="矩形: 圆角 56"/>
          <xdr:cNvSpPr/>
        </xdr:nvSpPr>
        <xdr:spPr>
          <a:xfrm>
            <a:off x="4808338" y="8971323"/>
            <a:ext cx="597683" cy="839948"/>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en-US" sz="1000" b="1" kern="1200">
                <a:solidFill>
                  <a:schemeClr val="tx1"/>
                </a:solidFill>
                <a:effectLst/>
                <a:latin typeface="+mj-lt"/>
                <a:ea typeface="+mn-ea"/>
                <a:cs typeface="+mn-cs"/>
              </a:rPr>
              <a:t>压力工艺窗口</a:t>
            </a:r>
            <a:endParaRPr lang="en-US" altLang="zh-CN" sz="1000" b="1" kern="1200">
              <a:solidFill>
                <a:schemeClr val="tx1"/>
              </a:solidFill>
              <a:effectLst/>
              <a:latin typeface="+mj-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defRPr/>
            </a:pPr>
            <a:r>
              <a:rPr lang="en-US" sz="1000" b="1" i="0" kern="1200">
                <a:solidFill>
                  <a:schemeClr val="tx1"/>
                </a:solidFill>
                <a:effectLst/>
                <a:latin typeface="+mn-lt"/>
                <a:ea typeface="+mn-ea"/>
                <a:cs typeface="+mn-cs"/>
              </a:rPr>
              <a:t>Pressure process window</a:t>
            </a:r>
            <a:endParaRPr lang="en-US" sz="1000" b="1">
              <a:effectLst/>
              <a:latin typeface="+mj-lt"/>
            </a:endParaRPr>
          </a:p>
        </xdr:txBody>
      </xdr:sp>
      <xdr:sp>
        <xdr:nvSpPr>
          <xdr:cNvPr id="58" name="矩形: 圆角 57"/>
          <xdr:cNvSpPr/>
        </xdr:nvSpPr>
        <xdr:spPr>
          <a:xfrm>
            <a:off x="5690923" y="8965970"/>
            <a:ext cx="609449" cy="850580"/>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en-US" sz="1000" b="1" kern="1200">
                <a:solidFill>
                  <a:schemeClr val="tx1"/>
                </a:solidFill>
                <a:effectLst/>
                <a:latin typeface="+mj-lt"/>
                <a:ea typeface="+mn-ea"/>
                <a:cs typeface="+mn-cs"/>
              </a:rPr>
              <a:t>浇口冻结</a:t>
            </a:r>
            <a:endParaRPr lang="en-US" altLang="zh-CN" sz="1000" b="1" kern="1200">
              <a:solidFill>
                <a:schemeClr val="tx1"/>
              </a:solidFill>
              <a:effectLst/>
              <a:latin typeface="+mj-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defRPr/>
            </a:pPr>
            <a:r>
              <a:rPr lang="en-US" sz="1000" b="1" kern="1200">
                <a:solidFill>
                  <a:schemeClr val="tx1"/>
                </a:solidFill>
                <a:effectLst/>
                <a:latin typeface="+mj-lt"/>
                <a:ea typeface="+mn-ea"/>
                <a:cs typeface="+mn-cs"/>
              </a:rPr>
              <a:t>gate freeze</a:t>
            </a:r>
            <a:endParaRPr lang="en-US" sz="1000">
              <a:effectLst/>
              <a:latin typeface="+mj-lt"/>
            </a:endParaRPr>
          </a:p>
        </xdr:txBody>
      </xdr:sp>
      <xdr:sp>
        <xdr:nvSpPr>
          <xdr:cNvPr id="62" name="矩形: 圆角 61"/>
          <xdr:cNvSpPr/>
        </xdr:nvSpPr>
        <xdr:spPr>
          <a:xfrm>
            <a:off x="6592995" y="8971321"/>
            <a:ext cx="620602" cy="847472"/>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锁模力优化</a:t>
            </a:r>
            <a:endParaRPr lang="en-US" altLang="zh-CN" sz="1000" b="1">
              <a:effectLst/>
            </a:endParaRPr>
          </a:p>
          <a:p>
            <a:pPr algn="ctr"/>
            <a:r>
              <a:rPr lang="en-US" sz="1000" b="1" i="0" kern="1200">
                <a:solidFill>
                  <a:schemeClr val="tx1"/>
                </a:solidFill>
                <a:effectLst/>
                <a:latin typeface="+mn-lt"/>
                <a:ea typeface="+mn-ea"/>
                <a:cs typeface="+mn-cs"/>
              </a:rPr>
              <a:t>Optimize the clamping force</a:t>
            </a:r>
            <a:endParaRPr lang="en-US" sz="1000" b="1">
              <a:effectLst/>
            </a:endParaRPr>
          </a:p>
        </xdr:txBody>
      </xdr:sp>
      <xdr:sp>
        <xdr:nvSpPr>
          <xdr:cNvPr id="7" name="矩形: 圆角 52"/>
          <xdr:cNvSpPr/>
        </xdr:nvSpPr>
        <xdr:spPr>
          <a:xfrm>
            <a:off x="874177" y="8963241"/>
            <a:ext cx="586005" cy="859157"/>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模温设置</a:t>
            </a:r>
            <a:endParaRPr lang="en-US" altLang="zh-CN" sz="1000" b="1">
              <a:effectLst/>
            </a:endParaRPr>
          </a:p>
          <a:p>
            <a:pPr algn="ctr"/>
            <a:r>
              <a:rPr lang="en-US" altLang="zh-CN" sz="1000" b="1">
                <a:effectLst/>
              </a:rPr>
              <a:t>mold</a:t>
            </a:r>
            <a:r>
              <a:rPr lang="en-US" altLang="zh-CN" sz="1000" b="1" baseline="0">
                <a:effectLst/>
              </a:rPr>
              <a:t> teperature set</a:t>
            </a:r>
            <a:endParaRPr lang="en-US" sz="1000" b="1">
              <a:effectLst/>
            </a:endParaRPr>
          </a:p>
        </xdr:txBody>
      </xdr:sp>
      <xdr:sp>
        <xdr:nvSpPr>
          <xdr:cNvPr id="9" name="矩形: 圆角 61"/>
          <xdr:cNvSpPr/>
        </xdr:nvSpPr>
        <xdr:spPr>
          <a:xfrm>
            <a:off x="7490530" y="8983434"/>
            <a:ext cx="617282" cy="827843"/>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确定工艺窗口</a:t>
            </a:r>
            <a:endParaRPr lang="en-US" altLang="zh-CN" sz="1000" b="1">
              <a:effectLst/>
            </a:endParaRPr>
          </a:p>
          <a:p>
            <a:pPr algn="ctr"/>
            <a:r>
              <a:rPr lang="en-US" sz="1000" b="1">
                <a:effectLst/>
              </a:rPr>
              <a:t>Confirmed process window</a:t>
            </a:r>
            <a:endParaRPr lang="en-US" sz="1000" b="1">
              <a:effectLst/>
            </a:endParaRPr>
          </a:p>
        </xdr:txBody>
      </xdr:sp>
    </xdr:grpSp>
    <xdr:clientData/>
  </xdr:twoCellAnchor>
  <xdr:twoCellAnchor>
    <xdr:from>
      <xdr:col>0</xdr:col>
      <xdr:colOff>501246</xdr:colOff>
      <xdr:row>37</xdr:row>
      <xdr:rowOff>108952</xdr:rowOff>
    </xdr:from>
    <xdr:to>
      <xdr:col>3</xdr:col>
      <xdr:colOff>364440</xdr:colOff>
      <xdr:row>42</xdr:row>
      <xdr:rowOff>225462</xdr:rowOff>
    </xdr:to>
    <xdr:cxnSp>
      <xdr:nvCxnSpPr>
        <xdr:cNvPr id="175" name="连接符: 肘形 174"/>
        <xdr:cNvCxnSpPr>
          <a:stCxn id="13" idx="1"/>
          <a:endCxn id="51" idx="0"/>
        </xdr:cNvCxnSpPr>
      </xdr:nvCxnSpPr>
      <xdr:spPr>
        <a:xfrm rot="10800000" flipV="1">
          <a:off x="501015" y="13825220"/>
          <a:ext cx="3232150" cy="878840"/>
        </a:xfrm>
        <a:prstGeom prst="bentConnector2">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1024197</xdr:colOff>
      <xdr:row>39</xdr:row>
      <xdr:rowOff>86139</xdr:rowOff>
    </xdr:from>
    <xdr:to>
      <xdr:col>4</xdr:col>
      <xdr:colOff>771943</xdr:colOff>
      <xdr:row>42</xdr:row>
      <xdr:rowOff>125884</xdr:rowOff>
    </xdr:to>
    <xdr:cxnSp>
      <xdr:nvCxnSpPr>
        <xdr:cNvPr id="189" name="连接符: 肘形 188"/>
        <xdr:cNvCxnSpPr>
          <a:stCxn id="47" idx="0"/>
          <a:endCxn id="13" idx="2"/>
        </xdr:cNvCxnSpPr>
      </xdr:nvCxnSpPr>
      <xdr:spPr>
        <a:xfrm rot="5400000" flipH="1" flipV="1">
          <a:off x="4573905" y="13926185"/>
          <a:ext cx="497205" cy="859155"/>
        </a:xfrm>
        <a:prstGeom prst="bentConnector3">
          <a:avLst>
            <a:gd name="adj1" fmla="val 50000"/>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276638</xdr:colOff>
      <xdr:row>42</xdr:row>
      <xdr:rowOff>238870</xdr:rowOff>
    </xdr:from>
    <xdr:ext cx="184731" cy="264560"/>
    <xdr:sp>
      <xdr:nvSpPr>
        <xdr:cNvPr id="193" name="文本框 192"/>
        <xdr:cNvSpPr txBox="1"/>
      </xdr:nvSpPr>
      <xdr:spPr>
        <a:xfrm>
          <a:off x="7272655" y="14717395"/>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196001</xdr:colOff>
      <xdr:row>41</xdr:row>
      <xdr:rowOff>65114</xdr:rowOff>
    </xdr:from>
    <xdr:ext cx="365760" cy="198120"/>
    <xdr:sp>
      <xdr:nvSpPr>
        <xdr:cNvPr id="194" name="文本框 193"/>
        <xdr:cNvSpPr txBox="1"/>
      </xdr:nvSpPr>
      <xdr:spPr>
        <a:xfrm>
          <a:off x="4676140" y="14391005"/>
          <a:ext cx="365760" cy="19812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NG</a:t>
          </a:r>
          <a:endParaRPr lang="en-US" sz="1100"/>
        </a:p>
      </xdr:txBody>
    </xdr:sp>
    <xdr:clientData/>
  </xdr:oneCellAnchor>
  <xdr:twoCellAnchor>
    <xdr:from>
      <xdr:col>4</xdr:col>
      <xdr:colOff>773697</xdr:colOff>
      <xdr:row>39</xdr:row>
      <xdr:rowOff>86139</xdr:rowOff>
    </xdr:from>
    <xdr:to>
      <xdr:col>5</xdr:col>
      <xdr:colOff>339524</xdr:colOff>
      <xdr:row>42</xdr:row>
      <xdr:rowOff>143446</xdr:rowOff>
    </xdr:to>
    <xdr:cxnSp>
      <xdr:nvCxnSpPr>
        <xdr:cNvPr id="199" name="连接符: 肘形 198"/>
        <xdr:cNvCxnSpPr>
          <a:stCxn id="144" idx="0"/>
          <a:endCxn id="13" idx="2"/>
        </xdr:cNvCxnSpPr>
      </xdr:nvCxnSpPr>
      <xdr:spPr>
        <a:xfrm rot="16200000" flipV="1">
          <a:off x="5379720" y="13981430"/>
          <a:ext cx="514350" cy="765810"/>
        </a:xfrm>
        <a:prstGeom prst="bentConnector3">
          <a:avLst>
            <a:gd name="adj1" fmla="val 50000"/>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896472</xdr:colOff>
      <xdr:row>42</xdr:row>
      <xdr:rowOff>912780</xdr:rowOff>
    </xdr:from>
    <xdr:to>
      <xdr:col>1</xdr:col>
      <xdr:colOff>90084</xdr:colOff>
      <xdr:row>42</xdr:row>
      <xdr:rowOff>915230</xdr:rowOff>
    </xdr:to>
    <xdr:cxnSp>
      <xdr:nvCxnSpPr>
        <xdr:cNvPr id="207" name="直接箭头连接符 206"/>
        <xdr:cNvCxnSpPr>
          <a:stCxn id="51" idx="3"/>
          <a:endCxn id="7" idx="1"/>
        </xdr:cNvCxnSpPr>
      </xdr:nvCxnSpPr>
      <xdr:spPr>
        <a:xfrm flipV="1">
          <a:off x="895985" y="15391130"/>
          <a:ext cx="402590" cy="254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934274</xdr:colOff>
      <xdr:row>42</xdr:row>
      <xdr:rowOff>910269</xdr:rowOff>
    </xdr:from>
    <xdr:to>
      <xdr:col>2</xdr:col>
      <xdr:colOff>378219</xdr:colOff>
      <xdr:row>42</xdr:row>
      <xdr:rowOff>910389</xdr:rowOff>
    </xdr:to>
    <xdr:cxnSp>
      <xdr:nvCxnSpPr>
        <xdr:cNvPr id="209" name="直接箭头连接符 208"/>
        <xdr:cNvCxnSpPr>
          <a:endCxn id="53" idx="1"/>
        </xdr:cNvCxnSpPr>
      </xdr:nvCxnSpPr>
      <xdr:spPr>
        <a:xfrm>
          <a:off x="2143125" y="15388590"/>
          <a:ext cx="412750" cy="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430638</xdr:colOff>
      <xdr:row>42</xdr:row>
      <xdr:rowOff>125884</xdr:rowOff>
    </xdr:from>
    <xdr:to>
      <xdr:col>4</xdr:col>
      <xdr:colOff>543377</xdr:colOff>
      <xdr:row>43</xdr:row>
      <xdr:rowOff>8</xdr:rowOff>
    </xdr:to>
    <xdr:sp>
      <xdr:nvSpPr>
        <xdr:cNvPr id="47" name="流程图: 决策 46"/>
        <xdr:cNvSpPr/>
      </xdr:nvSpPr>
      <xdr:spPr>
        <a:xfrm rot="2089">
          <a:off x="3799840" y="14604365"/>
          <a:ext cx="1223645" cy="156527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zh-CN" altLang="en-US" sz="1000" b="1">
              <a:solidFill>
                <a:schemeClr val="tx1"/>
              </a:solidFill>
            </a:rPr>
            <a:t>压力降</a:t>
          </a:r>
          <a:r>
            <a:rPr lang="en-US" sz="1000" b="1" i="0">
              <a:solidFill>
                <a:sysClr val="windowText" lastClr="000000"/>
              </a:solidFill>
              <a:effectLst/>
              <a:latin typeface="+mn-lt"/>
              <a:ea typeface="+mn-ea"/>
              <a:cs typeface="+mn-cs"/>
            </a:rPr>
            <a:t>Pressure drop</a:t>
          </a:r>
          <a:endParaRPr lang="en-US" sz="1000" b="1">
            <a:solidFill>
              <a:sysClr val="windowText" lastClr="000000"/>
            </a:solidFill>
          </a:endParaRPr>
        </a:p>
      </xdr:txBody>
    </xdr:sp>
    <xdr:clientData/>
  </xdr:twoCellAnchor>
  <xdr:twoCellAnchor>
    <xdr:from>
      <xdr:col>4</xdr:col>
      <xdr:colOff>927570</xdr:colOff>
      <xdr:row>42</xdr:row>
      <xdr:rowOff>143446</xdr:rowOff>
    </xdr:from>
    <xdr:to>
      <xdr:col>5</xdr:col>
      <xdr:colOff>960778</xdr:colOff>
      <xdr:row>42</xdr:row>
      <xdr:rowOff>1678303</xdr:rowOff>
    </xdr:to>
    <xdr:sp>
      <xdr:nvSpPr>
        <xdr:cNvPr id="144" name="流程图: 决策 143"/>
        <xdr:cNvSpPr/>
      </xdr:nvSpPr>
      <xdr:spPr>
        <a:xfrm rot="2089">
          <a:off x="5407660" y="14621510"/>
          <a:ext cx="1233805" cy="153479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zh-CN" altLang="en-US" sz="1000" b="1" i="0">
              <a:solidFill>
                <a:sysClr val="windowText" lastClr="000000"/>
              </a:solidFill>
              <a:effectLst/>
              <a:latin typeface="+mn-lt"/>
              <a:ea typeface="+mn-ea"/>
              <a:cs typeface="+mn-cs"/>
            </a:rPr>
            <a:t>型腔平衡</a:t>
          </a:r>
          <a:endParaRPr lang="en-US" sz="1000">
            <a:solidFill>
              <a:sysClr val="windowText" lastClr="000000"/>
            </a:solidFill>
            <a:effectLst/>
          </a:endParaRPr>
        </a:p>
        <a:p>
          <a:pPr algn="ctr"/>
          <a:r>
            <a:rPr lang="en-US" sz="1000" b="1" i="0">
              <a:solidFill>
                <a:sysClr val="windowText" lastClr="000000"/>
              </a:solidFill>
              <a:effectLst/>
              <a:latin typeface="+mn-lt"/>
              <a:ea typeface="+mn-ea"/>
              <a:cs typeface="+mn-cs"/>
            </a:rPr>
            <a:t>CAV balance</a:t>
          </a:r>
          <a:endParaRPr lang="en-US" sz="1000">
            <a:solidFill>
              <a:sysClr val="windowText" lastClr="000000"/>
            </a:solidFill>
            <a:effectLst/>
          </a:endParaRPr>
        </a:p>
      </xdr:txBody>
    </xdr:sp>
    <xdr:clientData/>
  </xdr:twoCellAnchor>
  <xdr:oneCellAnchor>
    <xdr:from>
      <xdr:col>4</xdr:col>
      <xdr:colOff>1004383</xdr:colOff>
      <xdr:row>41</xdr:row>
      <xdr:rowOff>65114</xdr:rowOff>
    </xdr:from>
    <xdr:ext cx="365760" cy="198120"/>
    <xdr:sp>
      <xdr:nvSpPr>
        <xdr:cNvPr id="227" name="文本框 226"/>
        <xdr:cNvSpPr txBox="1"/>
      </xdr:nvSpPr>
      <xdr:spPr>
        <a:xfrm>
          <a:off x="5484495" y="14391005"/>
          <a:ext cx="365760" cy="19812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NG</a:t>
          </a:r>
          <a:endParaRPr lang="en-US" sz="1100"/>
        </a:p>
      </xdr:txBody>
    </xdr:sp>
    <xdr:clientData/>
  </xdr:oneCellAnchor>
  <xdr:oneCellAnchor>
    <xdr:from>
      <xdr:col>5</xdr:col>
      <xdr:colOff>905136</xdr:colOff>
      <xdr:row>42</xdr:row>
      <xdr:rowOff>1013725</xdr:rowOff>
    </xdr:from>
    <xdr:ext cx="365760" cy="229985"/>
    <xdr:sp>
      <xdr:nvSpPr>
        <xdr:cNvPr id="233" name="文本框 232"/>
        <xdr:cNvSpPr txBox="1"/>
      </xdr:nvSpPr>
      <xdr:spPr>
        <a:xfrm>
          <a:off x="6585585" y="15492095"/>
          <a:ext cx="365760" cy="22987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OK</a:t>
          </a:r>
          <a:endParaRPr lang="en-US" sz="1100"/>
        </a:p>
      </xdr:txBody>
    </xdr:sp>
    <xdr:clientData/>
  </xdr:oneCellAnchor>
  <xdr:twoCellAnchor>
    <xdr:from>
      <xdr:col>2</xdr:col>
      <xdr:colOff>1199477</xdr:colOff>
      <xdr:row>42</xdr:row>
      <xdr:rowOff>906214</xdr:rowOff>
    </xdr:from>
    <xdr:to>
      <xdr:col>3</xdr:col>
      <xdr:colOff>430638</xdr:colOff>
      <xdr:row>42</xdr:row>
      <xdr:rowOff>910389</xdr:rowOff>
    </xdr:to>
    <xdr:cxnSp>
      <xdr:nvCxnSpPr>
        <xdr:cNvPr id="234" name="直接箭头连接符 233"/>
        <xdr:cNvCxnSpPr>
          <a:stCxn id="53" idx="3"/>
          <a:endCxn id="47" idx="1"/>
        </xdr:cNvCxnSpPr>
      </xdr:nvCxnSpPr>
      <xdr:spPr>
        <a:xfrm flipV="1">
          <a:off x="3369310" y="15384780"/>
          <a:ext cx="430530" cy="381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543377</xdr:colOff>
      <xdr:row>42</xdr:row>
      <xdr:rowOff>910486</xdr:rowOff>
    </xdr:from>
    <xdr:to>
      <xdr:col>4</xdr:col>
      <xdr:colOff>927570</xdr:colOff>
      <xdr:row>42</xdr:row>
      <xdr:rowOff>910497</xdr:rowOff>
    </xdr:to>
    <xdr:cxnSp>
      <xdr:nvCxnSpPr>
        <xdr:cNvPr id="237" name="直接箭头连接符 236"/>
        <xdr:cNvCxnSpPr>
          <a:stCxn id="47" idx="3"/>
          <a:endCxn id="144" idx="1"/>
        </xdr:cNvCxnSpPr>
      </xdr:nvCxnSpPr>
      <xdr:spPr>
        <a:xfrm>
          <a:off x="5023485" y="15388590"/>
          <a:ext cx="384175" cy="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523320</xdr:colOff>
      <xdr:row>42</xdr:row>
      <xdr:rowOff>977484</xdr:rowOff>
    </xdr:from>
    <xdr:ext cx="365760" cy="213360"/>
    <xdr:sp>
      <xdr:nvSpPr>
        <xdr:cNvPr id="245" name="文本框 244"/>
        <xdr:cNvSpPr txBox="1"/>
      </xdr:nvSpPr>
      <xdr:spPr>
        <a:xfrm>
          <a:off x="5003800" y="15455900"/>
          <a:ext cx="365760" cy="2133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OK</a:t>
          </a:r>
          <a:endParaRPr lang="en-US" sz="1100"/>
        </a:p>
      </xdr:txBody>
    </xdr:sp>
    <xdr:clientData/>
  </xdr:oneCellAnchor>
  <xdr:twoCellAnchor>
    <xdr:from>
      <xdr:col>5</xdr:col>
      <xdr:colOff>960778</xdr:colOff>
      <xdr:row>42</xdr:row>
      <xdr:rowOff>910273</xdr:rowOff>
    </xdr:from>
    <xdr:to>
      <xdr:col>5</xdr:col>
      <xdr:colOff>1291247</xdr:colOff>
      <xdr:row>42</xdr:row>
      <xdr:rowOff>911253</xdr:rowOff>
    </xdr:to>
    <xdr:cxnSp>
      <xdr:nvCxnSpPr>
        <xdr:cNvPr id="246" name="直接箭头连接符 245"/>
        <xdr:cNvCxnSpPr>
          <a:stCxn id="144" idx="3"/>
          <a:endCxn id="57" idx="1"/>
        </xdr:cNvCxnSpPr>
      </xdr:nvCxnSpPr>
      <xdr:spPr>
        <a:xfrm flipV="1">
          <a:off x="6641465" y="15388590"/>
          <a:ext cx="330200" cy="127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830304</xdr:colOff>
      <xdr:row>42</xdr:row>
      <xdr:rowOff>910212</xdr:rowOff>
    </xdr:from>
    <xdr:to>
      <xdr:col>7</xdr:col>
      <xdr:colOff>307508</xdr:colOff>
      <xdr:row>42</xdr:row>
      <xdr:rowOff>910273</xdr:rowOff>
    </xdr:to>
    <xdr:cxnSp>
      <xdr:nvCxnSpPr>
        <xdr:cNvPr id="250" name="直接箭头连接符 249"/>
        <xdr:cNvCxnSpPr>
          <a:stCxn id="57" idx="3"/>
          <a:endCxn id="58" idx="1"/>
        </xdr:cNvCxnSpPr>
      </xdr:nvCxnSpPr>
      <xdr:spPr>
        <a:xfrm flipV="1">
          <a:off x="7826375" y="15388590"/>
          <a:ext cx="410845" cy="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342695</xdr:colOff>
      <xdr:row>42</xdr:row>
      <xdr:rowOff>910212</xdr:rowOff>
    </xdr:from>
    <xdr:to>
      <xdr:col>8</xdr:col>
      <xdr:colOff>767273</xdr:colOff>
      <xdr:row>42</xdr:row>
      <xdr:rowOff>916465</xdr:rowOff>
    </xdr:to>
    <xdr:cxnSp>
      <xdr:nvCxnSpPr>
        <xdr:cNvPr id="262" name="直接箭头连接符 261"/>
        <xdr:cNvCxnSpPr>
          <a:stCxn id="58" idx="3"/>
          <a:endCxn id="62" idx="1"/>
        </xdr:cNvCxnSpPr>
      </xdr:nvCxnSpPr>
      <xdr:spPr>
        <a:xfrm>
          <a:off x="9116695" y="15388590"/>
          <a:ext cx="424815" cy="635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785985</xdr:colOff>
      <xdr:row>42</xdr:row>
      <xdr:rowOff>916465</xdr:rowOff>
    </xdr:from>
    <xdr:to>
      <xdr:col>11</xdr:col>
      <xdr:colOff>164540</xdr:colOff>
      <xdr:row>42</xdr:row>
      <xdr:rowOff>920250</xdr:rowOff>
    </xdr:to>
    <xdr:cxnSp>
      <xdr:nvCxnSpPr>
        <xdr:cNvPr id="266" name="直接箭头连接符 265"/>
        <xdr:cNvCxnSpPr>
          <a:stCxn id="62" idx="3"/>
          <a:endCxn id="9" idx="1"/>
        </xdr:cNvCxnSpPr>
      </xdr:nvCxnSpPr>
      <xdr:spPr>
        <a:xfrm>
          <a:off x="10440035" y="15394940"/>
          <a:ext cx="392430" cy="381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1011621</xdr:colOff>
      <xdr:row>5</xdr:row>
      <xdr:rowOff>39413</xdr:rowOff>
    </xdr:from>
    <xdr:to>
      <xdr:col>4</xdr:col>
      <xdr:colOff>269328</xdr:colOff>
      <xdr:row>5</xdr:row>
      <xdr:rowOff>462644</xdr:rowOff>
    </xdr:to>
    <xdr:pic>
      <xdr:nvPicPr>
        <xdr:cNvPr id="2" name="图片 1"/>
        <xdr:cNvPicPr>
          <a:picLocks noChangeAspect="1"/>
        </xdr:cNvPicPr>
      </xdr:nvPicPr>
      <xdr:blipFill>
        <a:blip r:embed="rId1"/>
        <a:stretch>
          <a:fillRect/>
        </a:stretch>
      </xdr:blipFill>
      <xdr:spPr>
        <a:xfrm>
          <a:off x="4380865" y="1495425"/>
          <a:ext cx="368935" cy="422910"/>
        </a:xfrm>
        <a:prstGeom prst="rect">
          <a:avLst/>
        </a:prstGeom>
      </xdr:spPr>
    </xdr:pic>
    <xdr:clientData/>
  </xdr:twoCellAnchor>
  <xdr:twoCellAnchor editAs="oneCell">
    <xdr:from>
      <xdr:col>3</xdr:col>
      <xdr:colOff>985346</xdr:colOff>
      <xdr:row>6</xdr:row>
      <xdr:rowOff>45984</xdr:rowOff>
    </xdr:from>
    <xdr:to>
      <xdr:col>4</xdr:col>
      <xdr:colOff>210606</xdr:colOff>
      <xdr:row>6</xdr:row>
      <xdr:rowOff>472966</xdr:rowOff>
    </xdr:to>
    <xdr:pic>
      <xdr:nvPicPr>
        <xdr:cNvPr id="3" name="图片 2"/>
        <xdr:cNvPicPr>
          <a:picLocks noChangeAspect="1"/>
        </xdr:cNvPicPr>
      </xdr:nvPicPr>
      <xdr:blipFill>
        <a:blip r:embed="rId2"/>
        <a:stretch>
          <a:fillRect/>
        </a:stretch>
      </xdr:blipFill>
      <xdr:spPr>
        <a:xfrm>
          <a:off x="4354195" y="1990090"/>
          <a:ext cx="336550" cy="4267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33996</xdr:colOff>
      <xdr:row>3</xdr:row>
      <xdr:rowOff>45721</xdr:rowOff>
    </xdr:from>
    <xdr:to>
      <xdr:col>15</xdr:col>
      <xdr:colOff>601980</xdr:colOff>
      <xdr:row>3</xdr:row>
      <xdr:rowOff>533402</xdr:rowOff>
    </xdr:to>
    <xdr:grpSp>
      <xdr:nvGrpSpPr>
        <xdr:cNvPr id="2" name="组合 1"/>
        <xdr:cNvGrpSpPr/>
      </xdr:nvGrpSpPr>
      <xdr:grpSpPr>
        <a:xfrm>
          <a:off x="3091815" y="974090"/>
          <a:ext cx="3344545" cy="487680"/>
          <a:chOff x="1752104" y="3283799"/>
          <a:chExt cx="6592484" cy="1098402"/>
        </a:xfrm>
      </xdr:grpSpPr>
      <xdr:sp>
        <xdr:nvSpPr>
          <xdr:cNvPr id="3" name="矩形 2"/>
          <xdr:cNvSpPr/>
        </xdr:nvSpPr>
        <xdr:spPr>
          <a:xfrm>
            <a:off x="2532037" y="3458397"/>
            <a:ext cx="539030" cy="717857"/>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4" name="矩形 3"/>
          <xdr:cNvSpPr/>
        </xdr:nvSpPr>
        <xdr:spPr>
          <a:xfrm>
            <a:off x="3090133" y="3283799"/>
            <a:ext cx="930167" cy="1012254"/>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nvGrpSpPr>
          <xdr:cNvPr id="5" name="组合 4"/>
          <xdr:cNvGrpSpPr/>
        </xdr:nvGrpSpPr>
        <xdr:grpSpPr>
          <a:xfrm>
            <a:off x="4044607" y="3310972"/>
            <a:ext cx="1105735" cy="995083"/>
            <a:chOff x="4044607" y="3310972"/>
            <a:chExt cx="1105735" cy="995083"/>
          </a:xfrm>
        </xdr:grpSpPr>
        <xdr:sp>
          <xdr:nvSpPr>
            <xdr:cNvPr id="14" name="矩形 13"/>
            <xdr:cNvSpPr/>
          </xdr:nvSpPr>
          <xdr:spPr>
            <a:xfrm>
              <a:off x="4044607" y="3389505"/>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15" name="矩形 14"/>
            <xdr:cNvSpPr/>
          </xdr:nvSpPr>
          <xdr:spPr>
            <a:xfrm>
              <a:off x="4212074" y="3310972"/>
              <a:ext cx="938268" cy="995083"/>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grpSp>
        <xdr:nvGrpSpPr>
          <xdr:cNvPr id="6" name="组合 5"/>
          <xdr:cNvGrpSpPr/>
        </xdr:nvGrpSpPr>
        <xdr:grpSpPr>
          <a:xfrm>
            <a:off x="5165409" y="3318127"/>
            <a:ext cx="1099907" cy="1029750"/>
            <a:chOff x="3838633" y="3320367"/>
            <a:chExt cx="1099907" cy="1029750"/>
          </a:xfrm>
        </xdr:grpSpPr>
        <xdr:sp>
          <xdr:nvSpPr>
            <xdr:cNvPr id="12" name="矩形 11"/>
            <xdr:cNvSpPr/>
          </xdr:nvSpPr>
          <xdr:spPr>
            <a:xfrm>
              <a:off x="3838633" y="3415605"/>
              <a:ext cx="169199"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13" name="矩形 12"/>
            <xdr:cNvSpPr/>
          </xdr:nvSpPr>
          <xdr:spPr>
            <a:xfrm>
              <a:off x="4000285" y="3320367"/>
              <a:ext cx="938255" cy="1029750"/>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grpSp>
        <xdr:nvGrpSpPr>
          <xdr:cNvPr id="7" name="组合 6"/>
          <xdr:cNvGrpSpPr/>
        </xdr:nvGrpSpPr>
        <xdr:grpSpPr>
          <a:xfrm>
            <a:off x="6267311" y="3300959"/>
            <a:ext cx="2077277" cy="1081242"/>
            <a:chOff x="3622723" y="3268543"/>
            <a:chExt cx="2077277" cy="1081242"/>
          </a:xfrm>
        </xdr:grpSpPr>
        <xdr:sp>
          <xdr:nvSpPr>
            <xdr:cNvPr id="10" name="矩形 9"/>
            <xdr:cNvSpPr/>
          </xdr:nvSpPr>
          <xdr:spPr>
            <a:xfrm>
              <a:off x="3622723" y="3389081"/>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11" name="矩形 10"/>
            <xdr:cNvSpPr/>
          </xdr:nvSpPr>
          <xdr:spPr>
            <a:xfrm>
              <a:off x="3775762" y="3285710"/>
              <a:ext cx="839399" cy="1029748"/>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16" name="矩形 15"/>
            <xdr:cNvSpPr/>
          </xdr:nvSpPr>
          <xdr:spPr>
            <a:xfrm>
              <a:off x="4632226" y="3389081"/>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44" name="矩形 43"/>
            <xdr:cNvSpPr/>
          </xdr:nvSpPr>
          <xdr:spPr>
            <a:xfrm>
              <a:off x="4800332" y="3268543"/>
              <a:ext cx="899668" cy="1081242"/>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sp>
        <xdr:nvSpPr>
          <xdr:cNvPr id="8" name="矩形 7"/>
          <xdr:cNvSpPr/>
        </xdr:nvSpPr>
        <xdr:spPr>
          <a:xfrm>
            <a:off x="2155517" y="3549505"/>
            <a:ext cx="376517" cy="528918"/>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xdr:nvSpPr>
          <xdr:cNvPr id="9" name="梯形 8"/>
          <xdr:cNvSpPr/>
        </xdr:nvSpPr>
        <xdr:spPr>
          <a:xfrm rot="16200000">
            <a:off x="1756589" y="3625708"/>
            <a:ext cx="385477" cy="394448"/>
          </a:xfrm>
          <a:prstGeom prst="trapezoid">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clientData/>
  </xdr:twoCellAnchor>
  <xdr:twoCellAnchor>
    <xdr:from>
      <xdr:col>1</xdr:col>
      <xdr:colOff>266700</xdr:colOff>
      <xdr:row>28</xdr:row>
      <xdr:rowOff>83820</xdr:rowOff>
    </xdr:from>
    <xdr:to>
      <xdr:col>6</xdr:col>
      <xdr:colOff>121920</xdr:colOff>
      <xdr:row>39</xdr:row>
      <xdr:rowOff>15240</xdr:rowOff>
    </xdr:to>
    <xdr:sp>
      <xdr:nvSpPr>
        <xdr:cNvPr id="20" name="矩形 19"/>
        <xdr:cNvSpPr/>
      </xdr:nvSpPr>
      <xdr:spPr>
        <a:xfrm>
          <a:off x="631190" y="7894320"/>
          <a:ext cx="1775460" cy="227838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137160</xdr:colOff>
      <xdr:row>28</xdr:row>
      <xdr:rowOff>121920</xdr:rowOff>
    </xdr:from>
    <xdr:to>
      <xdr:col>14</xdr:col>
      <xdr:colOff>525780</xdr:colOff>
      <xdr:row>39</xdr:row>
      <xdr:rowOff>53340</xdr:rowOff>
    </xdr:to>
    <xdr:sp>
      <xdr:nvSpPr>
        <xdr:cNvPr id="21" name="矩形 20"/>
        <xdr:cNvSpPr/>
      </xdr:nvSpPr>
      <xdr:spPr>
        <a:xfrm>
          <a:off x="3808730" y="7932420"/>
          <a:ext cx="2033270" cy="227838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335280</xdr:colOff>
      <xdr:row>28</xdr:row>
      <xdr:rowOff>167640</xdr:rowOff>
    </xdr:from>
    <xdr:to>
      <xdr:col>3</xdr:col>
      <xdr:colOff>60960</xdr:colOff>
      <xdr:row>31</xdr:row>
      <xdr:rowOff>45720</xdr:rowOff>
    </xdr:to>
    <xdr:sp>
      <xdr:nvSpPr>
        <xdr:cNvPr id="23" name="流程图: 接点 22"/>
        <xdr:cNvSpPr/>
      </xdr:nvSpPr>
      <xdr:spPr>
        <a:xfrm>
          <a:off x="699770" y="7978140"/>
          <a:ext cx="490220" cy="51816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61</a:t>
          </a:r>
          <a:endParaRPr lang="en-US" sz="1200">
            <a:solidFill>
              <a:sysClr val="windowText" lastClr="000000"/>
            </a:solidFill>
          </a:endParaRPr>
        </a:p>
      </xdr:txBody>
    </xdr:sp>
    <xdr:clientData/>
  </xdr:twoCellAnchor>
  <xdr:twoCellAnchor>
    <xdr:from>
      <xdr:col>4</xdr:col>
      <xdr:colOff>335280</xdr:colOff>
      <xdr:row>28</xdr:row>
      <xdr:rowOff>167640</xdr:rowOff>
    </xdr:from>
    <xdr:to>
      <xdr:col>6</xdr:col>
      <xdr:colOff>45720</xdr:colOff>
      <xdr:row>31</xdr:row>
      <xdr:rowOff>45720</xdr:rowOff>
    </xdr:to>
    <xdr:sp>
      <xdr:nvSpPr>
        <xdr:cNvPr id="45" name="流程图: 接点 44"/>
        <xdr:cNvSpPr/>
      </xdr:nvSpPr>
      <xdr:spPr>
        <a:xfrm>
          <a:off x="1846580" y="7978140"/>
          <a:ext cx="483870" cy="51816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60</a:t>
          </a:r>
          <a:endParaRPr lang="en-US" sz="1200">
            <a:solidFill>
              <a:sysClr val="windowText" lastClr="000000"/>
            </a:solidFill>
          </a:endParaRPr>
        </a:p>
      </xdr:txBody>
    </xdr:sp>
    <xdr:clientData/>
  </xdr:twoCellAnchor>
  <xdr:twoCellAnchor>
    <xdr:from>
      <xdr:col>3</xdr:col>
      <xdr:colOff>68580</xdr:colOff>
      <xdr:row>32</xdr:row>
      <xdr:rowOff>106680</xdr:rowOff>
    </xdr:from>
    <xdr:to>
      <xdr:col>4</xdr:col>
      <xdr:colOff>175260</xdr:colOff>
      <xdr:row>34</xdr:row>
      <xdr:rowOff>167640</xdr:rowOff>
    </xdr:to>
    <xdr:sp>
      <xdr:nvSpPr>
        <xdr:cNvPr id="46" name="流程图: 接点 45"/>
        <xdr:cNvSpPr/>
      </xdr:nvSpPr>
      <xdr:spPr>
        <a:xfrm>
          <a:off x="1197610" y="8770620"/>
          <a:ext cx="48895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58</a:t>
          </a:r>
          <a:endParaRPr lang="en-US" sz="1200">
            <a:solidFill>
              <a:sysClr val="windowText" lastClr="000000"/>
            </a:solidFill>
          </a:endParaRPr>
        </a:p>
      </xdr:txBody>
    </xdr:sp>
    <xdr:clientData/>
  </xdr:twoCellAnchor>
  <xdr:twoCellAnchor>
    <xdr:from>
      <xdr:col>1</xdr:col>
      <xdr:colOff>350520</xdr:colOff>
      <xdr:row>36</xdr:row>
      <xdr:rowOff>68580</xdr:rowOff>
    </xdr:from>
    <xdr:to>
      <xdr:col>3</xdr:col>
      <xdr:colOff>76200</xdr:colOff>
      <xdr:row>38</xdr:row>
      <xdr:rowOff>129540</xdr:rowOff>
    </xdr:to>
    <xdr:sp>
      <xdr:nvSpPr>
        <xdr:cNvPr id="47" name="流程图: 接点 46"/>
        <xdr:cNvSpPr/>
      </xdr:nvSpPr>
      <xdr:spPr>
        <a:xfrm>
          <a:off x="715010" y="9585960"/>
          <a:ext cx="49022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63</a:t>
          </a:r>
          <a:endParaRPr lang="en-US" sz="1200">
            <a:solidFill>
              <a:sysClr val="windowText" lastClr="000000"/>
            </a:solidFill>
          </a:endParaRPr>
        </a:p>
      </xdr:txBody>
    </xdr:sp>
    <xdr:clientData/>
  </xdr:twoCellAnchor>
  <xdr:twoCellAnchor>
    <xdr:from>
      <xdr:col>4</xdr:col>
      <xdr:colOff>327660</xdr:colOff>
      <xdr:row>36</xdr:row>
      <xdr:rowOff>76200</xdr:rowOff>
    </xdr:from>
    <xdr:to>
      <xdr:col>6</xdr:col>
      <xdr:colOff>38100</xdr:colOff>
      <xdr:row>38</xdr:row>
      <xdr:rowOff>137160</xdr:rowOff>
    </xdr:to>
    <xdr:sp>
      <xdr:nvSpPr>
        <xdr:cNvPr id="48" name="流程图: 接点 47"/>
        <xdr:cNvSpPr/>
      </xdr:nvSpPr>
      <xdr:spPr>
        <a:xfrm>
          <a:off x="1838960" y="9593580"/>
          <a:ext cx="48387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61</a:t>
          </a:r>
          <a:endParaRPr lang="en-US" sz="1200">
            <a:solidFill>
              <a:sysClr val="windowText" lastClr="000000"/>
            </a:solidFill>
          </a:endParaRPr>
        </a:p>
      </xdr:txBody>
    </xdr:sp>
    <xdr:clientData/>
  </xdr:twoCellAnchor>
  <xdr:twoCellAnchor>
    <xdr:from>
      <xdr:col>10</xdr:col>
      <xdr:colOff>220980</xdr:colOff>
      <xdr:row>29</xdr:row>
      <xdr:rowOff>22860</xdr:rowOff>
    </xdr:from>
    <xdr:to>
      <xdr:col>12</xdr:col>
      <xdr:colOff>137160</xdr:colOff>
      <xdr:row>31</xdr:row>
      <xdr:rowOff>83820</xdr:rowOff>
    </xdr:to>
    <xdr:sp>
      <xdr:nvSpPr>
        <xdr:cNvPr id="49" name="流程图: 接点 48"/>
        <xdr:cNvSpPr/>
      </xdr:nvSpPr>
      <xdr:spPr>
        <a:xfrm>
          <a:off x="3892550" y="8046720"/>
          <a:ext cx="47625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70</a:t>
          </a:r>
          <a:endParaRPr lang="en-US" sz="1200">
            <a:solidFill>
              <a:sysClr val="windowText" lastClr="000000"/>
            </a:solidFill>
          </a:endParaRPr>
        </a:p>
      </xdr:txBody>
    </xdr:sp>
    <xdr:clientData/>
  </xdr:twoCellAnchor>
  <xdr:twoCellAnchor>
    <xdr:from>
      <xdr:col>13</xdr:col>
      <xdr:colOff>441960</xdr:colOff>
      <xdr:row>29</xdr:row>
      <xdr:rowOff>53340</xdr:rowOff>
    </xdr:from>
    <xdr:to>
      <xdr:col>14</xdr:col>
      <xdr:colOff>419100</xdr:colOff>
      <xdr:row>31</xdr:row>
      <xdr:rowOff>114300</xdr:rowOff>
    </xdr:to>
    <xdr:sp>
      <xdr:nvSpPr>
        <xdr:cNvPr id="50" name="流程图: 接点 49"/>
        <xdr:cNvSpPr/>
      </xdr:nvSpPr>
      <xdr:spPr>
        <a:xfrm>
          <a:off x="5189220" y="8077200"/>
          <a:ext cx="54610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50</a:t>
          </a:r>
          <a:endParaRPr lang="en-US" sz="1200">
            <a:solidFill>
              <a:sysClr val="windowText" lastClr="000000"/>
            </a:solidFill>
          </a:endParaRPr>
        </a:p>
      </xdr:txBody>
    </xdr:sp>
    <xdr:clientData/>
  </xdr:twoCellAnchor>
  <xdr:twoCellAnchor>
    <xdr:from>
      <xdr:col>12</xdr:col>
      <xdr:colOff>297180</xdr:colOff>
      <xdr:row>32</xdr:row>
      <xdr:rowOff>137160</xdr:rowOff>
    </xdr:from>
    <xdr:to>
      <xdr:col>13</xdr:col>
      <xdr:colOff>266700</xdr:colOff>
      <xdr:row>35</xdr:row>
      <xdr:rowOff>15240</xdr:rowOff>
    </xdr:to>
    <xdr:sp>
      <xdr:nvSpPr>
        <xdr:cNvPr id="51" name="流程图: 接点 50"/>
        <xdr:cNvSpPr/>
      </xdr:nvSpPr>
      <xdr:spPr>
        <a:xfrm>
          <a:off x="4528820" y="8801100"/>
          <a:ext cx="485140" cy="51816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50</a:t>
          </a:r>
          <a:endParaRPr lang="en-US" sz="1200">
            <a:solidFill>
              <a:sysClr val="windowText" lastClr="000000"/>
            </a:solidFill>
          </a:endParaRPr>
        </a:p>
      </xdr:txBody>
    </xdr:sp>
    <xdr:clientData/>
  </xdr:twoCellAnchor>
  <xdr:twoCellAnchor>
    <xdr:from>
      <xdr:col>10</xdr:col>
      <xdr:colOff>243840</xdr:colOff>
      <xdr:row>36</xdr:row>
      <xdr:rowOff>99060</xdr:rowOff>
    </xdr:from>
    <xdr:to>
      <xdr:col>12</xdr:col>
      <xdr:colOff>160020</xdr:colOff>
      <xdr:row>38</xdr:row>
      <xdr:rowOff>160020</xdr:rowOff>
    </xdr:to>
    <xdr:sp>
      <xdr:nvSpPr>
        <xdr:cNvPr id="52" name="流程图: 接点 51"/>
        <xdr:cNvSpPr/>
      </xdr:nvSpPr>
      <xdr:spPr>
        <a:xfrm>
          <a:off x="3915410" y="9616440"/>
          <a:ext cx="47625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60</a:t>
          </a:r>
          <a:endParaRPr lang="en-US" sz="1200">
            <a:solidFill>
              <a:sysClr val="windowText" lastClr="000000"/>
            </a:solidFill>
          </a:endParaRPr>
        </a:p>
      </xdr:txBody>
    </xdr:sp>
    <xdr:clientData/>
  </xdr:twoCellAnchor>
  <xdr:twoCellAnchor>
    <xdr:from>
      <xdr:col>13</xdr:col>
      <xdr:colOff>449580</xdr:colOff>
      <xdr:row>36</xdr:row>
      <xdr:rowOff>99060</xdr:rowOff>
    </xdr:from>
    <xdr:to>
      <xdr:col>14</xdr:col>
      <xdr:colOff>426720</xdr:colOff>
      <xdr:row>38</xdr:row>
      <xdr:rowOff>160020</xdr:rowOff>
    </xdr:to>
    <xdr:sp>
      <xdr:nvSpPr>
        <xdr:cNvPr id="53" name="流程图: 接点 52"/>
        <xdr:cNvSpPr/>
      </xdr:nvSpPr>
      <xdr:spPr>
        <a:xfrm>
          <a:off x="5196840" y="9616440"/>
          <a:ext cx="546100" cy="48768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57</a:t>
          </a:r>
          <a:endParaRPr lang="en-US" sz="1200">
            <a:solidFill>
              <a:sysClr val="windowText" lastClr="000000"/>
            </a:solidFill>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255846</xdr:colOff>
      <xdr:row>22</xdr:row>
      <xdr:rowOff>33286</xdr:rowOff>
    </xdr:from>
    <xdr:to>
      <xdr:col>7</xdr:col>
      <xdr:colOff>654241</xdr:colOff>
      <xdr:row>36</xdr:row>
      <xdr:rowOff>76969</xdr:rowOff>
    </xdr:to>
    <xdr:graphicFrame>
      <xdr:nvGraphicFramePr>
        <xdr:cNvPr id="5" name="图表 4"/>
        <xdr:cNvGraphicFramePr/>
      </xdr:nvGraphicFramePr>
      <xdr:xfrm>
        <a:off x="717550" y="7628255"/>
        <a:ext cx="6159500" cy="25279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22860</xdr:colOff>
      <xdr:row>26</xdr:row>
      <xdr:rowOff>106680</xdr:rowOff>
    </xdr:from>
    <xdr:to>
      <xdr:col>7</xdr:col>
      <xdr:colOff>7620</xdr:colOff>
      <xdr:row>38</xdr:row>
      <xdr:rowOff>259080</xdr:rowOff>
    </xdr:to>
    <xdr:graphicFrame>
      <xdr:nvGraphicFramePr>
        <xdr:cNvPr id="4" name="图表 3"/>
        <xdr:cNvGraphicFramePr/>
      </xdr:nvGraphicFramePr>
      <xdr:xfrm>
        <a:off x="894080" y="8854440"/>
        <a:ext cx="5594350" cy="2712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213360</xdr:colOff>
      <xdr:row>19</xdr:row>
      <xdr:rowOff>0</xdr:rowOff>
    </xdr:from>
    <xdr:to>
      <xdr:col>8</xdr:col>
      <xdr:colOff>1093694</xdr:colOff>
      <xdr:row>29</xdr:row>
      <xdr:rowOff>266700</xdr:rowOff>
    </xdr:to>
    <xdr:graphicFrame>
      <xdr:nvGraphicFramePr>
        <xdr:cNvPr id="2" name="图表 1"/>
        <xdr:cNvGraphicFramePr/>
      </xdr:nvGraphicFramePr>
      <xdr:xfrm>
        <a:off x="3004820" y="6095365"/>
        <a:ext cx="4400550" cy="4297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624840</xdr:colOff>
      <xdr:row>21</xdr:row>
      <xdr:rowOff>53340</xdr:rowOff>
    </xdr:from>
    <xdr:to>
      <xdr:col>6</xdr:col>
      <xdr:colOff>624840</xdr:colOff>
      <xdr:row>35</xdr:row>
      <xdr:rowOff>83820</xdr:rowOff>
    </xdr:to>
    <xdr:graphicFrame>
      <xdr:nvGraphicFramePr>
        <xdr:cNvPr id="6" name="图表 5"/>
        <xdr:cNvGraphicFramePr/>
      </xdr:nvGraphicFramePr>
      <xdr:xfrm>
        <a:off x="622300" y="7686675"/>
        <a:ext cx="5541010" cy="31000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8</xdr:col>
      <xdr:colOff>30480</xdr:colOff>
      <xdr:row>37</xdr:row>
      <xdr:rowOff>137160</xdr:rowOff>
    </xdr:from>
    <xdr:to>
      <xdr:col>8</xdr:col>
      <xdr:colOff>411480</xdr:colOff>
      <xdr:row>37</xdr:row>
      <xdr:rowOff>502920</xdr:rowOff>
    </xdr:to>
    <xdr:sp>
      <xdr:nvSpPr>
        <xdr:cNvPr id="2" name="Rectangle 1"/>
        <xdr:cNvSpPr>
          <a:spLocks noChangeArrowheads="1"/>
        </xdr:cNvSpPr>
      </xdr:nvSpPr>
      <xdr:spPr>
        <a:xfrm>
          <a:off x="8013700" y="27556460"/>
          <a:ext cx="381000" cy="365760"/>
        </a:xfrm>
        <a:prstGeom prst="rect">
          <a:avLst/>
        </a:prstGeom>
        <a:solidFill>
          <a:srgbClr val="FFFFFF"/>
        </a:solidFill>
        <a:ln w="9360">
          <a:solidFill>
            <a:srgbClr val="000000"/>
          </a:solidFill>
          <a:miter lim="800000"/>
        </a:ln>
      </xdr:spPr>
    </xdr:sp>
    <xdr:clientData/>
  </xdr:twoCellAnchor>
  <xdr:twoCellAnchor>
    <xdr:from>
      <xdr:col>8</xdr:col>
      <xdr:colOff>30480</xdr:colOff>
      <xdr:row>38</xdr:row>
      <xdr:rowOff>91440</xdr:rowOff>
    </xdr:from>
    <xdr:to>
      <xdr:col>8</xdr:col>
      <xdr:colOff>411480</xdr:colOff>
      <xdr:row>38</xdr:row>
      <xdr:rowOff>434340</xdr:rowOff>
    </xdr:to>
    <xdr:sp>
      <xdr:nvSpPr>
        <xdr:cNvPr id="3" name="Rectangle 2"/>
        <xdr:cNvSpPr>
          <a:spLocks noChangeArrowheads="1"/>
        </xdr:cNvSpPr>
      </xdr:nvSpPr>
      <xdr:spPr>
        <a:xfrm>
          <a:off x="8013700" y="28272740"/>
          <a:ext cx="381000" cy="342900"/>
        </a:xfrm>
        <a:prstGeom prst="rect">
          <a:avLst/>
        </a:prstGeom>
        <a:solidFill>
          <a:srgbClr val="FFFFFF"/>
        </a:solidFill>
        <a:ln w="9360">
          <a:solidFill>
            <a:srgbClr val="000000"/>
          </a:solidFill>
          <a:miter lim="800000"/>
        </a:ln>
      </xdr:spPr>
    </xdr:sp>
    <xdr:clientData/>
  </xdr:twoCellAnchor>
  <xdr:twoCellAnchor>
    <xdr:from>
      <xdr:col>3</xdr:col>
      <xdr:colOff>45720</xdr:colOff>
      <xdr:row>37</xdr:row>
      <xdr:rowOff>106680</xdr:rowOff>
    </xdr:from>
    <xdr:to>
      <xdr:col>3</xdr:col>
      <xdr:colOff>419100</xdr:colOff>
      <xdr:row>37</xdr:row>
      <xdr:rowOff>518160</xdr:rowOff>
    </xdr:to>
    <xdr:sp>
      <xdr:nvSpPr>
        <xdr:cNvPr id="4" name="Rectangle 3"/>
        <xdr:cNvSpPr>
          <a:spLocks noChangeArrowheads="1"/>
        </xdr:cNvSpPr>
      </xdr:nvSpPr>
      <xdr:spPr>
        <a:xfrm>
          <a:off x="2783840" y="27525980"/>
          <a:ext cx="373380" cy="411480"/>
        </a:xfrm>
        <a:prstGeom prst="rect">
          <a:avLst/>
        </a:prstGeom>
        <a:solidFill>
          <a:srgbClr val="FFFFFF"/>
        </a:solidFill>
        <a:ln w="9360">
          <a:solidFill>
            <a:srgbClr val="000000"/>
          </a:solidFill>
          <a:miter lim="800000"/>
        </a:ln>
      </xdr:spPr>
    </xdr:sp>
    <xdr:clientData/>
  </xdr:twoCellAnchor>
  <xdr:twoCellAnchor>
    <xdr:from>
      <xdr:col>3</xdr:col>
      <xdr:colOff>45720</xdr:colOff>
      <xdr:row>38</xdr:row>
      <xdr:rowOff>129540</xdr:rowOff>
    </xdr:from>
    <xdr:to>
      <xdr:col>3</xdr:col>
      <xdr:colOff>396240</xdr:colOff>
      <xdr:row>38</xdr:row>
      <xdr:rowOff>510540</xdr:rowOff>
    </xdr:to>
    <xdr:sp>
      <xdr:nvSpPr>
        <xdr:cNvPr id="5" name="Rectangle 4"/>
        <xdr:cNvSpPr>
          <a:spLocks noChangeArrowheads="1"/>
        </xdr:cNvSpPr>
      </xdr:nvSpPr>
      <xdr:spPr>
        <a:xfrm>
          <a:off x="2783840" y="28310840"/>
          <a:ext cx="350520" cy="381000"/>
        </a:xfrm>
        <a:prstGeom prst="rect">
          <a:avLst/>
        </a:prstGeom>
        <a:solidFill>
          <a:srgbClr val="FFFFFF"/>
        </a:solidFill>
        <a:ln w="9360">
          <a:solidFill>
            <a:srgbClr val="000000"/>
          </a:solidFill>
          <a:miter lim="800000"/>
        </a:ln>
      </xdr:spPr>
    </xdr:sp>
    <xdr:clientData/>
  </xdr:twoCellAnchor>
  <xdr:twoCellAnchor>
    <xdr:from>
      <xdr:col>3</xdr:col>
      <xdr:colOff>22860</xdr:colOff>
      <xdr:row>39</xdr:row>
      <xdr:rowOff>137160</xdr:rowOff>
    </xdr:from>
    <xdr:to>
      <xdr:col>3</xdr:col>
      <xdr:colOff>373380</xdr:colOff>
      <xdr:row>39</xdr:row>
      <xdr:rowOff>502920</xdr:rowOff>
    </xdr:to>
    <xdr:sp>
      <xdr:nvSpPr>
        <xdr:cNvPr id="6" name="Rectangle 5"/>
        <xdr:cNvSpPr>
          <a:spLocks noChangeArrowheads="1"/>
        </xdr:cNvSpPr>
      </xdr:nvSpPr>
      <xdr:spPr>
        <a:xfrm>
          <a:off x="2760980" y="29080460"/>
          <a:ext cx="350520" cy="365760"/>
        </a:xfrm>
        <a:prstGeom prst="rect">
          <a:avLst/>
        </a:prstGeom>
        <a:solidFill>
          <a:srgbClr val="FFFFFF"/>
        </a:solidFill>
        <a:ln w="9360">
          <a:solidFill>
            <a:srgbClr val="000000"/>
          </a:solidFill>
          <a:miter lim="800000"/>
        </a:ln>
      </xdr:spPr>
    </xdr:sp>
    <xdr:clientData/>
  </xdr:twoCellAnchor>
  <xdr:twoCellAnchor>
    <xdr:from>
      <xdr:col>0</xdr:col>
      <xdr:colOff>174171</xdr:colOff>
      <xdr:row>0</xdr:row>
      <xdr:rowOff>40821</xdr:rowOff>
    </xdr:from>
    <xdr:to>
      <xdr:col>1</xdr:col>
      <xdr:colOff>1111703</xdr:colOff>
      <xdr:row>1</xdr:row>
      <xdr:rowOff>193221</xdr:rowOff>
    </xdr:to>
    <xdr:pic>
      <xdr:nvPicPr>
        <xdr:cNvPr id="7" name="Graphics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73990" y="40640"/>
          <a:ext cx="1328420" cy="128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14:hiddenLine>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107577</xdr:colOff>
      <xdr:row>66</xdr:row>
      <xdr:rowOff>125506</xdr:rowOff>
    </xdr:from>
    <xdr:to>
      <xdr:col>18</xdr:col>
      <xdr:colOff>320569</xdr:colOff>
      <xdr:row>88</xdr:row>
      <xdr:rowOff>171600</xdr:rowOff>
    </xdr:to>
    <xdr:pic>
      <xdr:nvPicPr>
        <xdr:cNvPr id="4" name="图片 3"/>
        <xdr:cNvPicPr>
          <a:picLocks noChangeAspect="1"/>
        </xdr:cNvPicPr>
      </xdr:nvPicPr>
      <xdr:blipFill>
        <a:blip r:embed="rId1"/>
        <a:stretch>
          <a:fillRect/>
        </a:stretch>
      </xdr:blipFill>
      <xdr:spPr>
        <a:xfrm>
          <a:off x="6268085" y="15692755"/>
          <a:ext cx="6017895" cy="4740275"/>
        </a:xfrm>
        <a:prstGeom prst="rect">
          <a:avLst/>
        </a:prstGeom>
      </xdr:spPr>
    </xdr:pic>
    <xdr:clientData/>
  </xdr:twoCellAnchor>
  <xdr:twoCellAnchor editAs="oneCell">
    <xdr:from>
      <xdr:col>0</xdr:col>
      <xdr:colOff>358589</xdr:colOff>
      <xdr:row>29</xdr:row>
      <xdr:rowOff>89648</xdr:rowOff>
    </xdr:from>
    <xdr:to>
      <xdr:col>9</xdr:col>
      <xdr:colOff>141275</xdr:colOff>
      <xdr:row>46</xdr:row>
      <xdr:rowOff>655694</xdr:rowOff>
    </xdr:to>
    <xdr:pic>
      <xdr:nvPicPr>
        <xdr:cNvPr id="8" name="图片 7"/>
        <xdr:cNvPicPr>
          <a:picLocks noChangeAspect="1"/>
        </xdr:cNvPicPr>
      </xdr:nvPicPr>
      <xdr:blipFill>
        <a:blip r:embed="rId1"/>
        <a:stretch>
          <a:fillRect/>
        </a:stretch>
      </xdr:blipFill>
      <xdr:spPr>
        <a:xfrm>
          <a:off x="358140" y="6472555"/>
          <a:ext cx="5943600" cy="4507230"/>
        </a:xfrm>
        <a:prstGeom prst="rect">
          <a:avLst/>
        </a:prstGeom>
      </xdr:spPr>
    </xdr:pic>
    <xdr:clientData/>
  </xdr:twoCellAnchor>
  <xdr:twoCellAnchor editAs="oneCell">
    <xdr:from>
      <xdr:col>0</xdr:col>
      <xdr:colOff>1</xdr:colOff>
      <xdr:row>4</xdr:row>
      <xdr:rowOff>56287</xdr:rowOff>
    </xdr:from>
    <xdr:to>
      <xdr:col>9</xdr:col>
      <xdr:colOff>475131</xdr:colOff>
      <xdr:row>21</xdr:row>
      <xdr:rowOff>175413</xdr:rowOff>
    </xdr:to>
    <xdr:pic>
      <xdr:nvPicPr>
        <xdr:cNvPr id="2" name="图片 1"/>
        <xdr:cNvPicPr>
          <a:picLocks noChangeAspect="1"/>
        </xdr:cNvPicPr>
      </xdr:nvPicPr>
      <xdr:blipFill>
        <a:blip r:embed="rId2"/>
        <a:stretch>
          <a:fillRect/>
        </a:stretch>
      </xdr:blipFill>
      <xdr:spPr>
        <a:xfrm>
          <a:off x="0" y="1013460"/>
          <a:ext cx="6635750" cy="3746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38100">
          <a:solidFill>
            <a:srgbClr val="FF0000"/>
          </a:solidFill>
          <a:headEnd type="none"/>
          <a:tailEnd type="none"/>
        </a:ln>
      </a:spPr>
      <a:bodyPr/>
      <a:lstStyle/>
      <a:style>
        <a:lnRef idx="1">
          <a:schemeClr val="accent1"/>
        </a:lnRef>
        <a:fillRef idx="0">
          <a:schemeClr val="accent1"/>
        </a:fillRef>
        <a:effectRef idx="0">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view="pageBreakPreview" zoomScale="85" zoomScalePageLayoutView="85" zoomScaleNormal="100" workbookViewId="0">
      <selection activeCell="P17" sqref="P17"/>
    </sheetView>
  </sheetViews>
  <sheetFormatPr defaultColWidth="9" defaultRowHeight="16.8"/>
  <cols>
    <col min="1" max="2" width="22.875" customWidth="1"/>
    <col min="3" max="3" width="17.875" customWidth="1"/>
    <col min="4" max="4" width="20.125" customWidth="1"/>
    <col min="5" max="5" width="19.75" customWidth="1"/>
    <col min="6" max="6" width="16.875" customWidth="1"/>
    <col min="7" max="7" width="18.25" customWidth="1"/>
    <col min="8" max="8" width="17.25" customWidth="1"/>
    <col min="9" max="9" width="0.25" customWidth="1"/>
  </cols>
  <sheetData>
    <row r="1" ht="92.45" customHeight="1" spans="1:15">
      <c r="A1" s="348" t="s">
        <v>0</v>
      </c>
      <c r="B1" s="349"/>
      <c r="C1" s="349"/>
      <c r="D1" s="349"/>
      <c r="E1" s="349"/>
      <c r="F1" s="349"/>
      <c r="G1" s="349"/>
      <c r="H1" s="349"/>
      <c r="I1" s="349"/>
      <c r="J1" s="349"/>
      <c r="K1" s="349"/>
      <c r="L1" s="349"/>
      <c r="M1" s="349"/>
      <c r="N1" s="349"/>
      <c r="O1" s="349"/>
    </row>
    <row r="2" ht="61.15" customHeight="1" spans="1:15">
      <c r="A2" s="249" t="s">
        <v>1</v>
      </c>
      <c r="B2" s="249" t="s">
        <v>2</v>
      </c>
      <c r="C2" s="249" t="s">
        <v>3</v>
      </c>
      <c r="D2" s="249" t="s">
        <v>4</v>
      </c>
      <c r="E2" s="249" t="s">
        <v>5</v>
      </c>
      <c r="F2" s="249" t="s">
        <v>6</v>
      </c>
      <c r="G2" s="249" t="s">
        <v>7</v>
      </c>
      <c r="H2" s="249" t="s">
        <v>8</v>
      </c>
    </row>
    <row r="3" ht="41.45" customHeight="1" spans="1:15">
      <c r="A3" s="249" t="s">
        <v>9</v>
      </c>
      <c r="B3" s="350"/>
      <c r="C3" s="350"/>
      <c r="D3" s="124" t="s">
        <v>10</v>
      </c>
      <c r="E3" s="350"/>
      <c r="F3" s="350"/>
      <c r="G3" s="350"/>
      <c r="H3" s="350"/>
    </row>
    <row r="4" ht="54" customHeight="1" spans="1:15">
      <c r="A4" s="249" t="s">
        <v>11</v>
      </c>
      <c r="B4" s="350"/>
      <c r="C4" s="350"/>
      <c r="D4" s="124" t="s">
        <v>10</v>
      </c>
      <c r="E4" s="350"/>
      <c r="F4" s="350"/>
      <c r="G4" s="350"/>
      <c r="H4" s="350"/>
    </row>
    <row r="5" ht="111" customHeight="1" spans="1:15">
      <c r="A5" s="249" t="s">
        <v>12</v>
      </c>
      <c r="B5" s="350"/>
      <c r="C5" s="350"/>
      <c r="D5" s="124" t="s">
        <v>10</v>
      </c>
      <c r="E5" s="350"/>
      <c r="F5" s="350"/>
      <c r="G5" s="351"/>
      <c r="H5" s="350"/>
    </row>
    <row r="6" ht="54" customHeight="1" spans="1:15">
      <c r="A6" s="249" t="s">
        <v>13</v>
      </c>
      <c r="B6" s="350"/>
      <c r="C6" s="350"/>
      <c r="D6" s="124" t="s">
        <v>10</v>
      </c>
      <c r="E6" s="230"/>
      <c r="F6" s="350"/>
      <c r="G6" s="350"/>
      <c r="H6" s="350"/>
    </row>
    <row r="7" ht="52.15" customHeight="1" spans="1:15">
      <c r="A7" s="249" t="s">
        <v>14</v>
      </c>
      <c r="B7" s="350"/>
      <c r="C7" s="350"/>
      <c r="D7" s="124" t="s">
        <v>10</v>
      </c>
      <c r="E7" s="350"/>
      <c r="F7" s="350"/>
      <c r="G7" s="350"/>
      <c r="H7" s="350"/>
    </row>
    <row r="8" ht="54" customHeight="1" spans="1:15">
      <c r="A8" s="249" t="s">
        <v>15</v>
      </c>
      <c r="B8" s="350"/>
      <c r="C8" s="350"/>
      <c r="D8" s="124" t="s">
        <v>10</v>
      </c>
      <c r="E8" s="350"/>
      <c r="F8" s="350"/>
      <c r="G8" s="350"/>
      <c r="H8" s="350"/>
    </row>
    <row r="10" ht="14.45" customHeight="1" spans="1:15">
      <c r="A10" s="352" t="s">
        <v>16</v>
      </c>
      <c r="B10" s="353"/>
      <c r="C10" s="353"/>
      <c r="D10" s="353"/>
      <c r="E10" s="353"/>
      <c r="F10" s="353"/>
      <c r="G10" s="353"/>
      <c r="H10" s="353"/>
    </row>
    <row r="11" spans="1:15">
      <c r="A11" s="353"/>
      <c r="B11" s="353"/>
      <c r="C11" s="353"/>
      <c r="D11" s="353"/>
      <c r="E11" s="353"/>
      <c r="F11" s="353"/>
      <c r="G11" s="353"/>
      <c r="H11" s="353"/>
    </row>
    <row r="12" spans="1:15">
      <c r="A12" s="353"/>
      <c r="B12" s="353"/>
      <c r="C12" s="353"/>
      <c r="D12" s="353"/>
      <c r="E12" s="353"/>
      <c r="F12" s="353"/>
      <c r="G12" s="353"/>
      <c r="H12" s="353"/>
    </row>
    <row r="13" spans="1:15">
      <c r="A13" s="353"/>
      <c r="B13" s="353"/>
      <c r="C13" s="353"/>
      <c r="D13" s="353"/>
      <c r="E13" s="353"/>
      <c r="F13" s="353"/>
      <c r="G13" s="353"/>
      <c r="H13" s="353"/>
    </row>
    <row r="14" spans="1:15">
      <c r="A14" s="353"/>
      <c r="B14" s="353"/>
      <c r="C14" s="353"/>
      <c r="D14" s="353"/>
      <c r="E14" s="353"/>
      <c r="F14" s="353"/>
      <c r="G14" s="353"/>
      <c r="H14" s="353"/>
    </row>
    <row r="15" spans="1:15">
      <c r="A15" s="353"/>
      <c r="B15" s="353"/>
      <c r="C15" s="353"/>
      <c r="D15" s="353"/>
      <c r="E15" s="353"/>
      <c r="F15" s="353"/>
      <c r="G15" s="353"/>
      <c r="H15" s="353"/>
    </row>
    <row r="16" spans="1:15">
      <c r="A16" s="353"/>
      <c r="B16" s="353"/>
      <c r="C16" s="353"/>
      <c r="D16" s="353"/>
      <c r="E16" s="353"/>
      <c r="F16" s="353"/>
      <c r="G16" s="353"/>
      <c r="H16" s="353"/>
    </row>
    <row r="17" spans="1:8">
      <c r="A17" s="353"/>
      <c r="B17" s="353"/>
      <c r="C17" s="353"/>
      <c r="D17" s="353"/>
      <c r="E17" s="353"/>
      <c r="F17" s="353"/>
      <c r="G17" s="353"/>
      <c r="H17" s="353"/>
    </row>
    <row r="18" spans="1:8">
      <c r="A18" s="353"/>
      <c r="B18" s="353"/>
      <c r="C18" s="353"/>
      <c r="D18" s="353"/>
      <c r="E18" s="353"/>
      <c r="F18" s="353"/>
      <c r="G18" s="353"/>
      <c r="H18" s="353"/>
    </row>
    <row r="19" spans="1:8">
      <c r="A19" s="353"/>
      <c r="B19" s="353"/>
      <c r="C19" s="353"/>
      <c r="D19" s="353"/>
      <c r="E19" s="353"/>
      <c r="F19" s="353"/>
      <c r="G19" s="353"/>
      <c r="H19" s="353"/>
    </row>
    <row r="20" ht="15.6" customHeight="1" spans="1:8">
      <c r="A20" s="353"/>
      <c r="B20" s="353"/>
      <c r="C20" s="353"/>
      <c r="D20" s="353"/>
      <c r="E20" s="353"/>
      <c r="F20" s="353"/>
      <c r="G20" s="353"/>
      <c r="H20" s="353"/>
    </row>
    <row r="21" spans="1:8">
      <c r="A21" s="353"/>
      <c r="B21" s="353"/>
      <c r="C21" s="353"/>
      <c r="D21" s="353"/>
      <c r="E21" s="353"/>
      <c r="F21" s="353"/>
      <c r="G21" s="353"/>
      <c r="H21" s="353"/>
    </row>
    <row r="22" spans="1:8">
      <c r="A22" s="353"/>
      <c r="B22" s="353"/>
      <c r="C22" s="353"/>
      <c r="D22" s="353"/>
      <c r="E22" s="353"/>
      <c r="F22" s="353"/>
      <c r="G22" s="353"/>
      <c r="H22" s="353"/>
    </row>
    <row r="23" spans="1:8">
      <c r="A23" s="353"/>
      <c r="B23" s="353"/>
      <c r="C23" s="353"/>
      <c r="D23" s="353"/>
      <c r="E23" s="353"/>
      <c r="F23" s="353"/>
      <c r="G23" s="353"/>
      <c r="H23" s="353"/>
    </row>
    <row r="24" spans="1:8">
      <c r="A24" s="353"/>
      <c r="B24" s="353"/>
      <c r="C24" s="353"/>
      <c r="D24" s="353"/>
      <c r="E24" s="353"/>
      <c r="F24" s="353"/>
      <c r="G24" s="353"/>
      <c r="H24" s="353"/>
    </row>
    <row r="25" spans="1:8">
      <c r="A25" s="353"/>
      <c r="B25" s="353"/>
      <c r="C25" s="353"/>
      <c r="D25" s="353"/>
      <c r="E25" s="353"/>
      <c r="F25" s="353"/>
      <c r="G25" s="353"/>
      <c r="H25" s="353"/>
    </row>
    <row r="26" spans="1:8">
      <c r="A26" s="353"/>
      <c r="B26" s="353"/>
      <c r="C26" s="353"/>
      <c r="D26" s="353"/>
      <c r="E26" s="353"/>
      <c r="F26" s="353"/>
      <c r="G26" s="353"/>
      <c r="H26" s="353"/>
    </row>
    <row r="27" spans="1:8">
      <c r="A27" s="353"/>
      <c r="B27" s="353"/>
      <c r="C27" s="353"/>
      <c r="D27" s="353"/>
      <c r="E27" s="353"/>
      <c r="F27" s="353"/>
      <c r="G27" s="353"/>
      <c r="H27" s="353"/>
    </row>
    <row r="28" spans="1:8">
      <c r="A28" s="353"/>
      <c r="B28" s="353"/>
      <c r="C28" s="353"/>
      <c r="D28" s="353"/>
      <c r="E28" s="353"/>
      <c r="F28" s="353"/>
      <c r="G28" s="353"/>
      <c r="H28" s="353"/>
    </row>
    <row r="29" spans="1:8">
      <c r="A29" s="353"/>
      <c r="B29" s="353"/>
      <c r="C29" s="353"/>
      <c r="D29" s="353"/>
      <c r="E29" s="353"/>
      <c r="F29" s="353"/>
      <c r="G29" s="353"/>
      <c r="H29" s="353"/>
    </row>
    <row r="30" spans="1:8">
      <c r="A30" s="353"/>
      <c r="B30" s="353"/>
      <c r="C30" s="353"/>
      <c r="D30" s="353"/>
      <c r="E30" s="353"/>
      <c r="F30" s="353"/>
      <c r="G30" s="353"/>
      <c r="H30" s="353"/>
    </row>
    <row r="31" spans="1:8">
      <c r="A31" s="353"/>
      <c r="B31" s="353"/>
      <c r="C31" s="353"/>
      <c r="D31" s="353"/>
      <c r="E31" s="353"/>
      <c r="F31" s="353"/>
      <c r="G31" s="353"/>
      <c r="H31" s="353"/>
    </row>
  </sheetData>
  <mergeCells count="2">
    <mergeCell ref="A1:I1"/>
    <mergeCell ref="A10:H31"/>
  </mergeCells>
  <pageMargins left="0.7" right="0.7" top="0.75" bottom="0.75" header="0.3" footer="0.3"/>
  <pageSetup paperSize="9" scale="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0"/>
  <sheetViews>
    <sheetView view="pageBreakPreview" zoomScale="130" zoomScalePageLayoutView="85" zoomScaleNormal="85" showWhiteSpace="0" topLeftCell="A12" workbookViewId="0">
      <selection activeCell="G19" sqref="G19:H19"/>
    </sheetView>
  </sheetViews>
  <sheetFormatPr defaultColWidth="9" defaultRowHeight="16.8"/>
  <cols>
    <col min="1" max="1" width="17" customWidth="1"/>
    <col min="2" max="2" width="13.625" customWidth="1"/>
    <col min="3" max="3" width="16.75" customWidth="1"/>
    <col min="4" max="4" width="15.625" customWidth="1"/>
    <col min="5" max="5" width="16.875" customWidth="1"/>
    <col min="6" max="6" width="18.5" customWidth="1"/>
    <col min="7" max="7" width="13.125" customWidth="1"/>
    <col min="8" max="8" width="11.875" customWidth="1"/>
    <col min="9" max="10" width="12.375" customWidth="1"/>
    <col min="11" max="11" width="1.875" customWidth="1"/>
    <col min="12" max="12" width="16.75" customWidth="1"/>
    <col min="13" max="13" width="6.5" customWidth="1"/>
    <col min="14" max="14" width="14.5" customWidth="1"/>
  </cols>
  <sheetData>
    <row r="1" ht="33" customHeight="1" spans="1:12">
      <c r="A1" s="260" t="s">
        <v>17</v>
      </c>
      <c r="B1" s="261"/>
      <c r="C1" s="261"/>
      <c r="D1" s="261"/>
      <c r="E1" s="261"/>
      <c r="F1" s="261"/>
      <c r="G1" s="261"/>
      <c r="H1" s="261"/>
      <c r="I1" s="261"/>
      <c r="J1" s="261"/>
      <c r="K1" s="261"/>
      <c r="L1" s="262"/>
    </row>
    <row r="2" ht="7.15" customHeight="1" spans="1:12">
      <c r="A2" s="263"/>
      <c r="B2" s="264"/>
      <c r="C2" s="264"/>
      <c r="D2" s="264"/>
      <c r="E2" s="264"/>
      <c r="F2" s="264"/>
      <c r="G2" s="264"/>
      <c r="H2" s="264"/>
      <c r="I2" s="264"/>
      <c r="J2" s="264"/>
      <c r="K2" s="264"/>
      <c r="L2" s="265"/>
    </row>
    <row r="3" s="4" customFormat="1" ht="19.15" customHeight="1" spans="1:12">
      <c r="A3" s="266" t="s">
        <v>18</v>
      </c>
      <c r="B3" s="267"/>
      <c r="C3" s="267"/>
      <c r="D3" s="267"/>
      <c r="E3" s="267"/>
      <c r="F3" s="267"/>
      <c r="G3" s="267"/>
      <c r="H3" s="267"/>
      <c r="I3" s="267"/>
      <c r="J3" s="267"/>
      <c r="K3" s="267"/>
      <c r="L3" s="268"/>
    </row>
    <row r="4" s="4" customFormat="1" ht="25.9" customHeight="1" spans="1:12">
      <c r="A4" s="269" t="s">
        <v>19</v>
      </c>
      <c r="B4" s="354" t="s">
        <v>20</v>
      </c>
      <c r="C4" s="271"/>
      <c r="D4" s="272" t="s">
        <v>21</v>
      </c>
      <c r="E4" s="273" t="s">
        <v>22</v>
      </c>
      <c r="F4" s="273"/>
      <c r="G4" s="272" t="s">
        <v>23</v>
      </c>
      <c r="H4" s="274" t="s">
        <v>24</v>
      </c>
      <c r="I4" s="275"/>
      <c r="J4" s="272" t="s">
        <v>25</v>
      </c>
      <c r="K4" s="276">
        <v>45852</v>
      </c>
      <c r="L4" s="271"/>
    </row>
    <row r="5" s="4" customFormat="1" ht="29.45" customHeight="1" spans="1:12">
      <c r="A5" s="269" t="s">
        <v>26</v>
      </c>
      <c r="B5" s="277" t="s">
        <v>27</v>
      </c>
      <c r="C5" s="278"/>
      <c r="D5" s="277" t="s">
        <v>28</v>
      </c>
      <c r="E5" s="278"/>
      <c r="F5" s="279" t="s">
        <v>29</v>
      </c>
      <c r="G5" s="280" t="s">
        <v>30</v>
      </c>
      <c r="H5" s="280" t="s">
        <v>31</v>
      </c>
      <c r="I5" s="281" t="s">
        <v>32</v>
      </c>
      <c r="J5" s="282" t="s">
        <v>33</v>
      </c>
      <c r="K5" s="283"/>
      <c r="L5" s="271"/>
    </row>
    <row r="6" s="4" customFormat="1" ht="38.45" customHeight="1" spans="1:12">
      <c r="A6" s="284">
        <v>351514009</v>
      </c>
      <c r="B6" s="285" t="s">
        <v>34</v>
      </c>
      <c r="C6" s="286"/>
      <c r="D6" s="287"/>
      <c r="E6" s="288"/>
      <c r="F6" s="221">
        <v>205</v>
      </c>
      <c r="G6" s="289"/>
      <c r="H6" s="290">
        <v>23</v>
      </c>
      <c r="I6" s="291">
        <f>F6+F7+H6</f>
        <v>424</v>
      </c>
      <c r="J6" s="285"/>
      <c r="K6" s="292"/>
      <c r="L6" s="286"/>
    </row>
    <row r="7" s="4" customFormat="1" ht="42" customHeight="1" spans="1:12">
      <c r="A7" s="273">
        <v>520513007</v>
      </c>
      <c r="B7" s="285" t="s">
        <v>35</v>
      </c>
      <c r="C7" s="286"/>
      <c r="D7" s="285"/>
      <c r="E7" s="286"/>
      <c r="F7" s="221">
        <v>196</v>
      </c>
      <c r="G7" s="289"/>
      <c r="H7" s="293"/>
      <c r="I7" s="294"/>
      <c r="J7" s="285"/>
      <c r="K7" s="292"/>
      <c r="L7" s="286"/>
    </row>
    <row r="8" s="4" customFormat="1" ht="17.45" customHeight="1" spans="1:12">
      <c r="A8" s="266" t="s">
        <v>36</v>
      </c>
      <c r="B8" s="267"/>
      <c r="C8" s="267"/>
      <c r="D8" s="267"/>
      <c r="E8" s="267"/>
      <c r="F8" s="267"/>
      <c r="G8" s="267"/>
      <c r="H8" s="267"/>
      <c r="I8" s="267"/>
      <c r="J8" s="267"/>
      <c r="K8" s="267"/>
      <c r="L8" s="268"/>
    </row>
    <row r="9" s="4" customFormat="1" ht="22.9" customHeight="1" spans="1:12">
      <c r="A9" s="269" t="s">
        <v>37</v>
      </c>
      <c r="B9" s="273" t="s">
        <v>38</v>
      </c>
      <c r="C9" s="273"/>
      <c r="D9" s="295" t="s">
        <v>39</v>
      </c>
      <c r="E9" s="270"/>
      <c r="F9" s="271"/>
      <c r="G9" s="269" t="s">
        <v>40</v>
      </c>
      <c r="H9" s="270" t="s">
        <v>41</v>
      </c>
      <c r="I9" s="271"/>
      <c r="J9" s="295" t="s">
        <v>42</v>
      </c>
      <c r="K9" s="273">
        <v>55</v>
      </c>
      <c r="L9" s="273"/>
    </row>
    <row r="10" s="4" customFormat="1" ht="12" customHeight="1" spans="1:12">
      <c r="A10" s="296" t="s">
        <v>43</v>
      </c>
      <c r="B10" s="297"/>
      <c r="C10" s="297"/>
      <c r="D10" s="297"/>
      <c r="E10" s="297"/>
      <c r="F10" s="297"/>
      <c r="G10" s="297"/>
      <c r="H10" s="297"/>
      <c r="I10" s="297"/>
      <c r="J10" s="297"/>
      <c r="K10" s="297"/>
      <c r="L10" s="298"/>
    </row>
    <row r="11" s="4" customFormat="1" ht="12" customHeight="1" spans="1:12">
      <c r="A11" s="266"/>
      <c r="B11" s="267"/>
      <c r="C11" s="267"/>
      <c r="D11" s="267"/>
      <c r="E11" s="267"/>
      <c r="F11" s="267"/>
      <c r="G11" s="267"/>
      <c r="H11" s="267"/>
      <c r="I11" s="267"/>
      <c r="J11" s="267"/>
      <c r="K11" s="267"/>
      <c r="L11" s="268"/>
    </row>
    <row r="12" s="4" customFormat="1" ht="33" customHeight="1" spans="1:12">
      <c r="A12" s="295" t="s">
        <v>44</v>
      </c>
      <c r="B12" s="277" t="s">
        <v>45</v>
      </c>
      <c r="C12" s="278"/>
      <c r="D12" s="295" t="s">
        <v>46</v>
      </c>
      <c r="E12" s="269"/>
      <c r="F12" s="299" t="s">
        <v>47</v>
      </c>
      <c r="G12" s="278"/>
      <c r="H12" s="299" t="s">
        <v>48</v>
      </c>
      <c r="I12" s="278"/>
      <c r="J12" s="295" t="s">
        <v>49</v>
      </c>
      <c r="K12" s="269"/>
      <c r="L12" s="269"/>
    </row>
    <row r="13" s="4" customFormat="1" ht="21.6" customHeight="1" spans="1:12">
      <c r="A13" s="273" t="s">
        <v>50</v>
      </c>
      <c r="B13" s="270" t="s">
        <v>51</v>
      </c>
      <c r="C13" s="271"/>
      <c r="D13" s="282">
        <v>500181173</v>
      </c>
      <c r="E13" s="271"/>
      <c r="F13" s="270" t="s">
        <v>52</v>
      </c>
      <c r="G13" s="271"/>
      <c r="H13" s="270">
        <v>1.355</v>
      </c>
      <c r="I13" s="271"/>
      <c r="J13" s="270" t="s">
        <v>53</v>
      </c>
      <c r="K13" s="283"/>
      <c r="L13" s="271"/>
    </row>
    <row r="14" s="4" customFormat="1" ht="36.6" customHeight="1" spans="1:12">
      <c r="A14" s="295" t="s">
        <v>54</v>
      </c>
      <c r="B14" s="295" t="s">
        <v>55</v>
      </c>
      <c r="C14" s="295"/>
      <c r="D14" s="299" t="s">
        <v>56</v>
      </c>
      <c r="E14" s="300"/>
      <c r="F14" s="295" t="s">
        <v>57</v>
      </c>
      <c r="G14" s="295"/>
      <c r="H14" s="300" t="s">
        <v>58</v>
      </c>
      <c r="I14" s="272"/>
      <c r="J14" s="299" t="s">
        <v>59</v>
      </c>
      <c r="K14" s="301"/>
      <c r="L14" s="278"/>
    </row>
    <row r="15" s="4" customFormat="1" ht="21" customHeight="1" spans="1:12">
      <c r="A15" s="284" t="s">
        <v>60</v>
      </c>
      <c r="B15" s="284" t="s">
        <v>61</v>
      </c>
      <c r="C15" s="284"/>
      <c r="D15" s="284" t="s">
        <v>62</v>
      </c>
      <c r="E15" s="284"/>
      <c r="F15" s="284" t="s">
        <v>63</v>
      </c>
      <c r="G15" s="284"/>
      <c r="H15" s="302" t="s">
        <v>53</v>
      </c>
      <c r="I15" s="302"/>
      <c r="J15" s="270" t="s">
        <v>53</v>
      </c>
      <c r="K15" s="283"/>
      <c r="L15" s="271"/>
    </row>
    <row r="16" s="4" customFormat="1" ht="12" customHeight="1" spans="1:12">
      <c r="A16" s="296" t="s">
        <v>64</v>
      </c>
      <c r="B16" s="297"/>
      <c r="C16" s="297"/>
      <c r="D16" s="297"/>
      <c r="E16" s="297"/>
      <c r="F16" s="297"/>
      <c r="G16" s="297"/>
      <c r="H16" s="297"/>
      <c r="I16" s="297"/>
      <c r="J16" s="297"/>
      <c r="K16" s="297"/>
      <c r="L16" s="298"/>
    </row>
    <row r="17" s="4" customFormat="1" ht="12" customHeight="1" spans="1:12">
      <c r="A17" s="266"/>
      <c r="B17" s="267"/>
      <c r="C17" s="267"/>
      <c r="D17" s="267"/>
      <c r="E17" s="267"/>
      <c r="F17" s="267"/>
      <c r="G17" s="267"/>
      <c r="H17" s="267"/>
      <c r="I17" s="267"/>
      <c r="J17" s="267"/>
      <c r="K17" s="267"/>
      <c r="L17" s="268"/>
    </row>
    <row r="18" s="4" customFormat="1" ht="46.9" customHeight="1" spans="1:12">
      <c r="A18" s="295" t="s">
        <v>65</v>
      </c>
      <c r="B18" s="272" t="s">
        <v>44</v>
      </c>
      <c r="C18" s="272" t="s">
        <v>66</v>
      </c>
      <c r="D18" s="295" t="s">
        <v>67</v>
      </c>
      <c r="E18" s="295" t="s">
        <v>68</v>
      </c>
      <c r="F18" s="295" t="s">
        <v>69</v>
      </c>
      <c r="G18" s="299" t="s">
        <v>70</v>
      </c>
      <c r="H18" s="272"/>
      <c r="I18" s="299" t="s">
        <v>71</v>
      </c>
      <c r="J18" s="278"/>
      <c r="K18" s="295" t="s">
        <v>72</v>
      </c>
      <c r="L18" s="295"/>
    </row>
    <row r="19" s="4" customFormat="1" ht="24.6" customHeight="1" spans="1:12">
      <c r="A19" s="273" t="s">
        <v>73</v>
      </c>
      <c r="B19" s="303" t="s">
        <v>74</v>
      </c>
      <c r="C19" s="273" t="s">
        <v>75</v>
      </c>
      <c r="D19" s="304">
        <v>260</v>
      </c>
      <c r="E19" s="304">
        <v>53</v>
      </c>
      <c r="F19" s="273">
        <v>217.1</v>
      </c>
      <c r="G19" s="270">
        <v>175</v>
      </c>
      <c r="H19" s="271"/>
      <c r="I19" s="270">
        <v>79</v>
      </c>
      <c r="J19" s="271"/>
      <c r="K19" s="273">
        <v>265</v>
      </c>
      <c r="L19" s="273"/>
    </row>
    <row r="20" s="4" customFormat="1" ht="59.45" customHeight="1" spans="1:12">
      <c r="A20" s="305" t="s">
        <v>76</v>
      </c>
      <c r="B20" s="306"/>
      <c r="C20" s="305" t="s">
        <v>77</v>
      </c>
      <c r="D20" s="306"/>
      <c r="E20" s="299" t="s">
        <v>78</v>
      </c>
      <c r="F20" s="278"/>
      <c r="G20" s="295" t="s">
        <v>79</v>
      </c>
      <c r="H20" s="295"/>
      <c r="I20" s="299" t="s">
        <v>80</v>
      </c>
      <c r="J20" s="272"/>
      <c r="K20" s="299" t="s">
        <v>81</v>
      </c>
      <c r="L20" s="272"/>
    </row>
    <row r="21" s="4" customFormat="1" ht="23.45" customHeight="1" spans="1:12">
      <c r="A21" s="284">
        <f>F19/G19*10</f>
        <v>12.4057142857143</v>
      </c>
      <c r="B21" s="284"/>
      <c r="C21" s="307">
        <f>((E19^2/4)*3.14*K19/1000*H13)/I6/60*K9</f>
        <v>1.71179655338542</v>
      </c>
      <c r="D21" s="308"/>
      <c r="E21" s="309">
        <f>I6/((E19^2/4)*3.14*K19*H13/1000)*1.15</f>
        <v>0.615824739559058</v>
      </c>
      <c r="F21" s="309"/>
      <c r="G21" s="270" t="s">
        <v>53</v>
      </c>
      <c r="H21" s="310"/>
      <c r="I21" s="311" t="s">
        <v>53</v>
      </c>
      <c r="J21" s="310"/>
      <c r="K21" s="311" t="s">
        <v>53</v>
      </c>
      <c r="L21" s="310"/>
    </row>
    <row r="22" s="4" customFormat="1" ht="12" customHeight="1" spans="1:12">
      <c r="A22" s="312" t="s">
        <v>82</v>
      </c>
      <c r="B22" s="313"/>
      <c r="C22" s="313"/>
      <c r="D22" s="313"/>
      <c r="E22" s="313"/>
      <c r="F22" s="313"/>
      <c r="G22" s="313"/>
      <c r="H22" s="313"/>
      <c r="I22" s="313"/>
      <c r="J22" s="313"/>
      <c r="K22" s="313"/>
      <c r="L22" s="314"/>
    </row>
    <row r="23" s="4" customFormat="1" ht="18" customHeight="1" spans="1:12">
      <c r="A23" s="315"/>
      <c r="B23" s="316"/>
      <c r="C23" s="316"/>
      <c r="D23" s="316"/>
      <c r="E23" s="316"/>
      <c r="F23" s="316"/>
      <c r="G23" s="316"/>
      <c r="H23" s="316"/>
      <c r="I23" s="316"/>
      <c r="J23" s="316"/>
      <c r="K23" s="316"/>
      <c r="L23" s="317"/>
    </row>
    <row r="24" s="4" customFormat="1" ht="27" customHeight="1" spans="1:12">
      <c r="A24" s="318" t="s">
        <v>83</v>
      </c>
      <c r="B24" s="319"/>
      <c r="C24" s="320"/>
      <c r="D24" s="321" t="s">
        <v>84</v>
      </c>
      <c r="E24" s="319"/>
      <c r="F24" s="319"/>
      <c r="G24" s="177" t="s">
        <v>85</v>
      </c>
      <c r="H24" s="177"/>
      <c r="I24" s="177"/>
      <c r="J24" s="177"/>
      <c r="K24" s="177"/>
      <c r="L24" s="177"/>
    </row>
    <row r="25" s="4" customFormat="1" ht="39.6" customHeight="1" spans="1:12">
      <c r="A25" s="322" t="s">
        <v>86</v>
      </c>
      <c r="B25" s="323"/>
      <c r="C25" s="324"/>
      <c r="D25" s="325" t="s">
        <v>87</v>
      </c>
      <c r="E25" s="326"/>
      <c r="F25" s="327"/>
      <c r="G25" s="328" t="s">
        <v>88</v>
      </c>
      <c r="H25" s="328"/>
      <c r="I25" s="328"/>
      <c r="J25" s="328"/>
      <c r="K25" s="328"/>
      <c r="L25" s="328"/>
    </row>
    <row r="26" s="4" customFormat="1" ht="30.6" customHeight="1" spans="1:12">
      <c r="A26" s="322" t="s">
        <v>89</v>
      </c>
      <c r="B26" s="323"/>
      <c r="C26" s="324"/>
      <c r="D26" s="325" t="s">
        <v>87</v>
      </c>
      <c r="E26" s="326"/>
      <c r="F26" s="327"/>
      <c r="G26" s="329" t="s">
        <v>90</v>
      </c>
      <c r="H26" s="330"/>
      <c r="I26" s="330"/>
      <c r="J26" s="330"/>
      <c r="K26" s="330"/>
      <c r="L26" s="331"/>
    </row>
    <row r="27" s="4" customFormat="1" ht="39" customHeight="1" spans="1:12">
      <c r="A27" s="322" t="s">
        <v>91</v>
      </c>
      <c r="B27" s="323"/>
      <c r="C27" s="324"/>
      <c r="D27" s="325" t="s">
        <v>92</v>
      </c>
      <c r="E27" s="326"/>
      <c r="F27" s="327"/>
      <c r="G27" s="329" t="s">
        <v>93</v>
      </c>
      <c r="H27" s="330"/>
      <c r="I27" s="330"/>
      <c r="J27" s="330"/>
      <c r="K27" s="330"/>
      <c r="L27" s="331"/>
    </row>
    <row r="28" s="4" customFormat="1" ht="41.45" customHeight="1" spans="1:12">
      <c r="A28" s="322" t="s">
        <v>94</v>
      </c>
      <c r="B28" s="323"/>
      <c r="C28" s="324"/>
      <c r="D28" s="325" t="s">
        <v>95</v>
      </c>
      <c r="E28" s="326"/>
      <c r="F28" s="327"/>
      <c r="G28" s="329" t="s">
        <v>96</v>
      </c>
      <c r="H28" s="330"/>
      <c r="I28" s="330"/>
      <c r="J28" s="330"/>
      <c r="K28" s="330"/>
      <c r="L28" s="331"/>
    </row>
    <row r="29" s="4" customFormat="1" ht="49.9" customHeight="1" spans="1:12">
      <c r="A29" s="322" t="s">
        <v>97</v>
      </c>
      <c r="B29" s="323"/>
      <c r="C29" s="324"/>
      <c r="D29" s="325" t="s">
        <v>98</v>
      </c>
      <c r="E29" s="326"/>
      <c r="F29" s="327"/>
      <c r="G29" s="329" t="s">
        <v>99</v>
      </c>
      <c r="H29" s="330"/>
      <c r="I29" s="330"/>
      <c r="J29" s="330"/>
      <c r="K29" s="330"/>
      <c r="L29" s="331"/>
    </row>
    <row r="30" s="4" customFormat="1" ht="43.15" customHeight="1" spans="1:12">
      <c r="A30" s="322" t="s">
        <v>100</v>
      </c>
      <c r="B30" s="323"/>
      <c r="C30" s="324"/>
      <c r="D30" s="325" t="s">
        <v>101</v>
      </c>
      <c r="E30" s="326"/>
      <c r="F30" s="327"/>
      <c r="G30" s="329" t="s">
        <v>102</v>
      </c>
      <c r="H30" s="330"/>
      <c r="I30" s="330"/>
      <c r="J30" s="330"/>
      <c r="K30" s="330"/>
      <c r="L30" s="331"/>
    </row>
    <row r="31" s="4" customFormat="1" ht="42.6" customHeight="1" spans="1:12">
      <c r="A31" s="322" t="s">
        <v>103</v>
      </c>
      <c r="B31" s="323"/>
      <c r="C31" s="324"/>
      <c r="D31" s="325" t="s">
        <v>104</v>
      </c>
      <c r="E31" s="326"/>
      <c r="F31" s="327"/>
      <c r="G31" s="329" t="s">
        <v>105</v>
      </c>
      <c r="H31" s="330"/>
      <c r="I31" s="330"/>
      <c r="J31" s="330"/>
      <c r="K31" s="330"/>
      <c r="L31" s="331"/>
    </row>
    <row r="32" s="4" customFormat="1" ht="32.45" customHeight="1" spans="1:12">
      <c r="A32" s="322" t="s">
        <v>106</v>
      </c>
      <c r="B32" s="323"/>
      <c r="C32" s="324"/>
      <c r="D32" s="325" t="s">
        <v>104</v>
      </c>
      <c r="E32" s="326"/>
      <c r="F32" s="327"/>
      <c r="G32" s="329" t="s">
        <v>107</v>
      </c>
      <c r="H32" s="330"/>
      <c r="I32" s="330"/>
      <c r="J32" s="330"/>
      <c r="K32" s="330"/>
      <c r="L32" s="331"/>
    </row>
    <row r="33" s="4" customFormat="1" ht="33.6" customHeight="1" spans="1:16">
      <c r="A33" s="322" t="s">
        <v>108</v>
      </c>
      <c r="B33" s="323"/>
      <c r="C33" s="324"/>
      <c r="D33" s="325" t="s">
        <v>109</v>
      </c>
      <c r="E33" s="326"/>
      <c r="F33" s="327"/>
      <c r="G33" s="329" t="s">
        <v>110</v>
      </c>
      <c r="H33" s="330"/>
      <c r="I33" s="330"/>
      <c r="J33" s="330"/>
      <c r="K33" s="330"/>
      <c r="L33" s="331"/>
    </row>
    <row r="34" s="4" customFormat="1" ht="40.15" customHeight="1" spans="1:16">
      <c r="A34" s="322" t="s">
        <v>111</v>
      </c>
      <c r="B34" s="323"/>
      <c r="C34" s="324"/>
      <c r="D34" s="325" t="s">
        <v>101</v>
      </c>
      <c r="E34" s="326"/>
      <c r="F34" s="327"/>
      <c r="G34" s="329" t="s">
        <v>112</v>
      </c>
      <c r="H34" s="330"/>
      <c r="I34" s="330"/>
      <c r="J34" s="330"/>
      <c r="K34" s="330"/>
      <c r="L34" s="331"/>
    </row>
    <row r="35" s="4" customFormat="1" ht="40.9" customHeight="1" spans="1:16">
      <c r="A35" s="322" t="s">
        <v>113</v>
      </c>
      <c r="B35" s="323"/>
      <c r="C35" s="324"/>
      <c r="D35" s="325" t="s">
        <v>114</v>
      </c>
      <c r="E35" s="326"/>
      <c r="F35" s="327"/>
      <c r="G35" s="329" t="s">
        <v>115</v>
      </c>
      <c r="H35" s="330"/>
      <c r="I35" s="330"/>
      <c r="J35" s="330"/>
      <c r="K35" s="330"/>
      <c r="L35" s="331"/>
      <c r="P35" s="332"/>
    </row>
    <row r="36" s="4" customFormat="1" ht="23.45" customHeight="1" spans="1:16">
      <c r="A36" s="333" t="s">
        <v>116</v>
      </c>
      <c r="B36" s="334"/>
      <c r="C36" s="334"/>
      <c r="D36" s="334"/>
      <c r="E36" s="334"/>
      <c r="F36" s="334"/>
      <c r="G36" s="334"/>
      <c r="H36" s="334"/>
      <c r="I36" s="334"/>
      <c r="J36" s="334"/>
      <c r="K36" s="334"/>
      <c r="L36" s="334"/>
    </row>
    <row r="37" s="4" customFormat="1" ht="16.15" customHeight="1" spans="1:16">
      <c r="A37" s="335"/>
      <c r="B37" s="336"/>
      <c r="C37" s="336"/>
      <c r="D37" s="336"/>
      <c r="E37" s="336"/>
      <c r="F37" s="336"/>
      <c r="G37" s="336"/>
      <c r="H37" s="336"/>
      <c r="I37" s="336"/>
      <c r="J37" s="336"/>
      <c r="K37" s="336"/>
      <c r="L37" s="337"/>
    </row>
    <row r="38" s="4" customFormat="1" ht="12" customHeight="1" spans="1:16">
      <c r="B38" s="336"/>
      <c r="C38" s="336"/>
      <c r="D38" s="336"/>
      <c r="E38" s="336"/>
      <c r="F38" s="336"/>
      <c r="G38" s="336"/>
      <c r="H38" s="336"/>
      <c r="I38" s="336"/>
      <c r="J38" s="336"/>
      <c r="K38" s="336"/>
      <c r="L38" s="337"/>
    </row>
    <row r="39" s="4" customFormat="1" ht="12" customHeight="1" spans="1:16">
      <c r="A39" s="335"/>
      <c r="B39" s="336"/>
      <c r="C39" s="336"/>
      <c r="D39" s="336"/>
      <c r="E39" s="336"/>
      <c r="F39" s="336"/>
      <c r="G39" s="336"/>
      <c r="H39" s="338"/>
      <c r="I39" s="336"/>
      <c r="J39" s="336"/>
      <c r="K39" s="336"/>
      <c r="L39" s="337"/>
    </row>
    <row r="40" s="4" customFormat="1" ht="12" customHeight="1" spans="1:16">
      <c r="A40" s="335"/>
      <c r="B40" s="336"/>
      <c r="C40" s="336"/>
      <c r="D40" s="336"/>
      <c r="E40" s="336"/>
      <c r="F40" s="336"/>
      <c r="G40" s="336"/>
      <c r="H40" s="336"/>
      <c r="I40" s="336"/>
      <c r="J40" s="336"/>
      <c r="K40" s="336"/>
      <c r="L40" s="337"/>
    </row>
    <row r="41" s="4" customFormat="1" ht="12" customHeight="1" spans="1:16">
      <c r="A41" s="335"/>
      <c r="B41" s="336"/>
      <c r="C41" s="336"/>
      <c r="D41" s="336"/>
      <c r="E41" s="336"/>
      <c r="F41" s="336"/>
      <c r="G41" s="336"/>
      <c r="H41" s="336"/>
      <c r="I41" s="336"/>
      <c r="J41" s="336"/>
      <c r="K41" s="336"/>
      <c r="L41" s="337"/>
    </row>
    <row r="42" s="4" customFormat="1" ht="12" customHeight="1" spans="1:16">
      <c r="A42" s="335"/>
      <c r="B42" s="336"/>
      <c r="C42" s="336"/>
      <c r="D42" s="336"/>
      <c r="E42" s="336"/>
      <c r="F42" s="336"/>
      <c r="G42" s="336"/>
      <c r="H42" s="336"/>
      <c r="I42" s="338"/>
      <c r="J42" s="336"/>
      <c r="K42" s="336"/>
      <c r="L42" s="337"/>
    </row>
    <row r="43" s="4" customFormat="1" ht="133.15" customHeight="1" spans="1:16">
      <c r="A43" s="335"/>
      <c r="B43" s="336"/>
      <c r="C43" s="336"/>
      <c r="D43" s="336"/>
      <c r="F43" s="336"/>
      <c r="G43" s="336"/>
      <c r="H43" s="336"/>
      <c r="I43" s="336"/>
      <c r="J43" s="336"/>
      <c r="K43" s="336"/>
      <c r="L43" s="337"/>
    </row>
    <row r="44" s="4" customFormat="1" ht="27" customHeight="1" spans="1:16">
      <c r="A44" s="339" t="s">
        <v>117</v>
      </c>
      <c r="B44" s="340"/>
      <c r="C44" s="340"/>
      <c r="D44" s="340"/>
      <c r="E44" s="340"/>
      <c r="F44" s="340"/>
      <c r="G44" s="340"/>
      <c r="H44" s="340"/>
      <c r="I44" s="340"/>
      <c r="J44" s="340"/>
      <c r="K44" s="340"/>
      <c r="L44" s="341"/>
    </row>
    <row r="45" s="4" customFormat="1" ht="30.6" customHeight="1" spans="1:16">
      <c r="A45" s="295" t="s">
        <v>118</v>
      </c>
      <c r="B45" s="269"/>
      <c r="C45" s="280" t="s">
        <v>119</v>
      </c>
      <c r="D45" s="295" t="s">
        <v>120</v>
      </c>
      <c r="E45" s="299" t="s">
        <v>121</v>
      </c>
      <c r="F45" s="278"/>
      <c r="G45" s="299" t="s">
        <v>122</v>
      </c>
      <c r="H45" s="272"/>
      <c r="I45" s="299" t="s">
        <v>123</v>
      </c>
      <c r="J45" s="300"/>
      <c r="K45" s="295" t="s">
        <v>33</v>
      </c>
      <c r="L45" s="295"/>
      <c r="M45" s="131"/>
    </row>
    <row r="46" s="4" customFormat="1" ht="31.15" customHeight="1" spans="1:16">
      <c r="A46" s="295" t="s">
        <v>124</v>
      </c>
      <c r="B46" s="269" t="s">
        <v>125</v>
      </c>
      <c r="C46" s="280"/>
      <c r="D46" s="295"/>
      <c r="E46" s="277" t="str">
        <f>'动态压力降测试Dynamic pressure  test'!D20</f>
        <v>Bar</v>
      </c>
      <c r="F46" s="278"/>
      <c r="G46" s="277" t="s">
        <v>126</v>
      </c>
      <c r="H46" s="278"/>
      <c r="I46" s="299" t="str">
        <f>'锁模力优化Optimization of clamping f'!C16</f>
        <v>Ton</v>
      </c>
      <c r="J46" s="300"/>
      <c r="K46" s="295"/>
      <c r="L46" s="295"/>
    </row>
    <row r="47" s="4" customFormat="1" ht="23.45" customHeight="1" spans="1:16">
      <c r="A47" s="309" t="str">
        <f>'粘度曲线Viscosity Curve'!B40</f>
        <v>70%~90%</v>
      </c>
      <c r="B47" s="273" t="str">
        <f>'粘度曲线Viscosity Curve'!C40</f>
        <v>53~69</v>
      </c>
      <c r="C47" s="342">
        <f>'动态压力降测试Dynamic pressure  test'!D40</f>
        <v>0.609714285714286</v>
      </c>
      <c r="D47" s="273" t="str">
        <f>'型腔平衡测试CAV balance test'!N43</f>
        <v>OK</v>
      </c>
      <c r="E47" s="270">
        <f>'压力工艺窗口Pressure process window'!D20</f>
        <v>50</v>
      </c>
      <c r="F47" s="271"/>
      <c r="G47" s="270">
        <f>'浇口冻结测试Gate freezing test'!C34</f>
        <v>13</v>
      </c>
      <c r="H47" s="271"/>
      <c r="I47" s="343">
        <f>'锁模力优化Optimization of clamping f'!G38</f>
        <v>220</v>
      </c>
      <c r="J47" s="344"/>
      <c r="K47" s="273"/>
      <c r="L47" s="273"/>
    </row>
    <row r="48" s="4" customFormat="1" ht="24.6" customHeight="1" spans="1:16">
      <c r="A48" s="345"/>
      <c r="B48" s="346"/>
      <c r="C48" s="346"/>
      <c r="D48" s="347" t="s">
        <v>127</v>
      </c>
      <c r="E48" s="346"/>
      <c r="F48" s="346"/>
      <c r="G48" s="346"/>
      <c r="H48" s="347" t="s">
        <v>128</v>
      </c>
      <c r="I48" s="346"/>
      <c r="J48" s="346"/>
      <c r="K48" s="346"/>
      <c r="L48" s="346"/>
    </row>
    <row r="49" s="4" customFormat="1" ht="1.9" customHeight="1"/>
    <row r="50" ht="30" customHeight="1"/>
  </sheetData>
  <mergeCells count="116">
    <mergeCell ref="A1:L1"/>
    <mergeCell ref="A2:L2"/>
    <mergeCell ref="A3:L3"/>
    <mergeCell ref="B4:C4"/>
    <mergeCell ref="E4:F4"/>
    <mergeCell ref="K4:L4"/>
    <mergeCell ref="B5:C5"/>
    <mergeCell ref="D5:E5"/>
    <mergeCell ref="J5:L5"/>
    <mergeCell ref="B6:C6"/>
    <mergeCell ref="D6:E6"/>
    <mergeCell ref="J6:L6"/>
    <mergeCell ref="B7:C7"/>
    <mergeCell ref="D7:E7"/>
    <mergeCell ref="J7:L7"/>
    <mergeCell ref="A8:L8"/>
    <mergeCell ref="B9:C9"/>
    <mergeCell ref="E9:F9"/>
    <mergeCell ref="H9:I9"/>
    <mergeCell ref="K9:L9"/>
    <mergeCell ref="B12:C12"/>
    <mergeCell ref="D12:E12"/>
    <mergeCell ref="F12:G12"/>
    <mergeCell ref="H12:I12"/>
    <mergeCell ref="J12:L12"/>
    <mergeCell ref="B13:C13"/>
    <mergeCell ref="D13:E13"/>
    <mergeCell ref="F13:G13"/>
    <mergeCell ref="H13:I13"/>
    <mergeCell ref="J13:L13"/>
    <mergeCell ref="B14:C14"/>
    <mergeCell ref="D14:E14"/>
    <mergeCell ref="F14:G14"/>
    <mergeCell ref="H14:I14"/>
    <mergeCell ref="J14:L14"/>
    <mergeCell ref="B15:C15"/>
    <mergeCell ref="D15:E15"/>
    <mergeCell ref="F15:G15"/>
    <mergeCell ref="H15:I15"/>
    <mergeCell ref="J15:L15"/>
    <mergeCell ref="G18:H18"/>
    <mergeCell ref="I18:J18"/>
    <mergeCell ref="K18:L18"/>
    <mergeCell ref="G19:H19"/>
    <mergeCell ref="I19:J19"/>
    <mergeCell ref="K19:L19"/>
    <mergeCell ref="A20:B20"/>
    <mergeCell ref="C20:D20"/>
    <mergeCell ref="E20:F20"/>
    <mergeCell ref="G20:H20"/>
    <mergeCell ref="I20:J20"/>
    <mergeCell ref="K20:L20"/>
    <mergeCell ref="A21:B21"/>
    <mergeCell ref="C21:D21"/>
    <mergeCell ref="E21:F21"/>
    <mergeCell ref="G21:H21"/>
    <mergeCell ref="I21:J21"/>
    <mergeCell ref="K21:L21"/>
    <mergeCell ref="A24:C24"/>
    <mergeCell ref="D24:F24"/>
    <mergeCell ref="G24:L24"/>
    <mergeCell ref="A25:C25"/>
    <mergeCell ref="D25:F25"/>
    <mergeCell ref="G25:L25"/>
    <mergeCell ref="A26:C26"/>
    <mergeCell ref="D26:F26"/>
    <mergeCell ref="G26:L26"/>
    <mergeCell ref="A27:C27"/>
    <mergeCell ref="D27:F27"/>
    <mergeCell ref="G27:L27"/>
    <mergeCell ref="A28:C28"/>
    <mergeCell ref="D28:F28"/>
    <mergeCell ref="G28:L28"/>
    <mergeCell ref="A29:C29"/>
    <mergeCell ref="D29:F29"/>
    <mergeCell ref="G29:L29"/>
    <mergeCell ref="A30:C30"/>
    <mergeCell ref="D30:F30"/>
    <mergeCell ref="G30:L30"/>
    <mergeCell ref="A31:C31"/>
    <mergeCell ref="D31:F31"/>
    <mergeCell ref="G31:L31"/>
    <mergeCell ref="A32:C32"/>
    <mergeCell ref="D32:F32"/>
    <mergeCell ref="G32:L32"/>
    <mergeCell ref="A33:C33"/>
    <mergeCell ref="D33:F33"/>
    <mergeCell ref="G33:L33"/>
    <mergeCell ref="A34:C34"/>
    <mergeCell ref="D34:F34"/>
    <mergeCell ref="G34:L34"/>
    <mergeCell ref="A35:C35"/>
    <mergeCell ref="D35:F35"/>
    <mergeCell ref="G35:L35"/>
    <mergeCell ref="A36:L36"/>
    <mergeCell ref="A44:L44"/>
    <mergeCell ref="A45:B45"/>
    <mergeCell ref="E45:F45"/>
    <mergeCell ref="G45:H45"/>
    <mergeCell ref="I45:J45"/>
    <mergeCell ref="K45:L45"/>
    <mergeCell ref="E46:F46"/>
    <mergeCell ref="G46:H46"/>
    <mergeCell ref="I46:J46"/>
    <mergeCell ref="K46:L46"/>
    <mergeCell ref="E47:F47"/>
    <mergeCell ref="G47:H47"/>
    <mergeCell ref="I47:J47"/>
    <mergeCell ref="K47:L47"/>
    <mergeCell ref="C45:C46"/>
    <mergeCell ref="D45:D46"/>
    <mergeCell ref="H6:H7"/>
    <mergeCell ref="I6:I7"/>
    <mergeCell ref="A10:L11"/>
    <mergeCell ref="A16:L17"/>
    <mergeCell ref="A22:L23"/>
  </mergeCells>
  <dataValidations count="3">
    <dataValidation type="list" allowBlank="1" showInputMessage="1" showErrorMessage="1" sqref="C19">
      <formula1>"电动机,油压机"</formula1>
    </dataValidation>
    <dataValidation allowBlank="1" showInputMessage="1" showErrorMessage="1" promptTitle="OK,NG" sqref="C47"/>
    <dataValidation type="list" allowBlank="1" showInputMessage="1" showErrorMessage="1" promptTitle="OK,NG" sqref="D47">
      <formula1>"OK,NG"</formula1>
    </dataValidation>
  </dataValidations>
  <pageMargins left="0.7" right="0.7" top="0.75" bottom="0.75" header="0.3" footer="0.3"/>
  <pageSetup paperSize="9" scale="5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view="pageBreakPreview" zoomScalePageLayoutView="115" zoomScaleNormal="100" showWhiteSpace="0" topLeftCell="A19" workbookViewId="0">
      <selection activeCell="A9" sqref="A9:D10"/>
    </sheetView>
  </sheetViews>
  <sheetFormatPr defaultColWidth="9" defaultRowHeight="16.8"/>
  <cols>
    <col min="1" max="1" width="5.125" customWidth="1"/>
    <col min="2" max="2" width="5.25" customWidth="1"/>
    <col min="3" max="3" width="5.5" customWidth="1"/>
    <col min="4" max="4" width="5.375" customWidth="1"/>
    <col min="5" max="5" width="5.5" customWidth="1"/>
    <col min="6" max="6" width="5.375" customWidth="1"/>
    <col min="7" max="7" width="5.25" customWidth="1"/>
    <col min="8" max="8" width="5.625" customWidth="1"/>
    <col min="9" max="9" width="6.125" customWidth="1"/>
    <col min="10" max="10" width="2.5" customWidth="1"/>
    <col min="11" max="11" width="3.75" customWidth="1"/>
    <col min="12" max="12" width="4.125" customWidth="1"/>
    <col min="13" max="13" width="7.25" customWidth="1"/>
    <col min="14" max="14" width="8" customWidth="1"/>
    <col min="15" max="15" width="8.25" customWidth="1"/>
    <col min="16" max="16" width="7.5" customWidth="1"/>
  </cols>
  <sheetData>
    <row r="1" ht="31.6" spans="1:16">
      <c r="A1" s="223" t="s">
        <v>129</v>
      </c>
      <c r="B1" s="223"/>
      <c r="C1" s="223"/>
      <c r="D1" s="223"/>
      <c r="E1" s="223"/>
      <c r="F1" s="223"/>
      <c r="G1" s="223"/>
      <c r="H1" s="223"/>
      <c r="I1" s="223"/>
      <c r="J1" s="223"/>
      <c r="K1" s="223"/>
      <c r="L1" s="223"/>
      <c r="M1" s="223"/>
      <c r="N1" s="223"/>
      <c r="O1" s="223"/>
      <c r="P1" s="223"/>
    </row>
    <row r="2" ht="4.9" customHeight="1" spans="1:16">
      <c r="A2" s="224"/>
      <c r="B2" s="224"/>
      <c r="C2" s="224"/>
      <c r="D2" s="224"/>
      <c r="E2" s="224"/>
      <c r="F2" s="224"/>
      <c r="G2" s="224"/>
      <c r="H2" s="224"/>
      <c r="I2" s="224"/>
      <c r="J2" s="224"/>
      <c r="K2" s="224"/>
      <c r="L2" s="224"/>
      <c r="M2" s="224"/>
      <c r="N2" s="224"/>
      <c r="O2" s="224"/>
      <c r="P2" s="224"/>
    </row>
    <row r="3" ht="36.6" customHeight="1" spans="1:16">
      <c r="A3" s="225" t="s">
        <v>130</v>
      </c>
      <c r="B3" s="226"/>
      <c r="C3" s="226"/>
      <c r="D3" s="226"/>
      <c r="E3" s="226"/>
      <c r="F3" s="226"/>
      <c r="G3" s="226"/>
      <c r="H3" s="226"/>
      <c r="I3" s="225" t="s">
        <v>131</v>
      </c>
      <c r="J3" s="226"/>
      <c r="K3" s="226"/>
      <c r="L3" s="226"/>
      <c r="M3" s="226"/>
      <c r="N3" s="226"/>
      <c r="O3" s="226"/>
      <c r="P3" s="226"/>
    </row>
    <row r="4" ht="43.9" customHeight="1" spans="1:16">
      <c r="A4" s="125" t="s">
        <v>53</v>
      </c>
      <c r="B4" s="125" t="s">
        <v>53</v>
      </c>
      <c r="C4" s="125" t="s">
        <v>53</v>
      </c>
      <c r="D4" s="125" t="s">
        <v>53</v>
      </c>
      <c r="E4" s="125" t="s">
        <v>53</v>
      </c>
      <c r="F4" s="125" t="s">
        <v>53</v>
      </c>
      <c r="G4" s="125" t="s">
        <v>53</v>
      </c>
      <c r="H4" s="125" t="s">
        <v>53</v>
      </c>
      <c r="I4" s="227"/>
      <c r="J4" s="2"/>
      <c r="K4" s="2"/>
      <c r="L4" s="2"/>
      <c r="M4" s="2"/>
      <c r="N4" s="2"/>
      <c r="O4" s="2"/>
      <c r="P4" s="228"/>
    </row>
    <row r="5" ht="31.9" customHeight="1" spans="1:16">
      <c r="A5" s="125"/>
      <c r="B5" s="125"/>
      <c r="C5" s="125"/>
      <c r="D5" s="125"/>
      <c r="E5" s="125"/>
      <c r="F5" s="125"/>
      <c r="G5" s="125"/>
      <c r="H5" s="125"/>
      <c r="I5" s="229" t="s">
        <v>132</v>
      </c>
      <c r="J5" s="230"/>
      <c r="K5" s="231" t="s">
        <v>133</v>
      </c>
      <c r="L5" s="228"/>
      <c r="M5" s="232" t="s">
        <v>134</v>
      </c>
      <c r="N5" s="232" t="s">
        <v>135</v>
      </c>
      <c r="O5" s="232" t="s">
        <v>136</v>
      </c>
      <c r="P5" s="232" t="s">
        <v>137</v>
      </c>
    </row>
    <row r="6" ht="26.45" customHeight="1" spans="1:16">
      <c r="A6" s="125"/>
      <c r="B6" s="125"/>
      <c r="C6" s="125"/>
      <c r="D6" s="125"/>
      <c r="E6" s="125"/>
      <c r="F6" s="125"/>
      <c r="G6" s="125"/>
      <c r="H6" s="125"/>
      <c r="I6" s="125">
        <v>255</v>
      </c>
      <c r="J6" s="125"/>
      <c r="K6" s="233">
        <v>265</v>
      </c>
      <c r="L6" s="234"/>
      <c r="M6" s="125">
        <v>265</v>
      </c>
      <c r="N6" s="125">
        <v>261</v>
      </c>
      <c r="O6" s="125">
        <v>255</v>
      </c>
      <c r="P6" s="125">
        <v>245</v>
      </c>
    </row>
    <row r="7" ht="20.45" customHeight="1" spans="1:16">
      <c r="A7" s="235" t="s">
        <v>138</v>
      </c>
      <c r="B7" s="236"/>
      <c r="C7" s="236"/>
      <c r="D7" s="236"/>
      <c r="E7" s="236"/>
      <c r="F7" s="236"/>
      <c r="G7" s="236"/>
      <c r="H7" s="236"/>
      <c r="I7" s="236"/>
      <c r="J7" s="236"/>
      <c r="K7" s="236"/>
      <c r="L7" s="236"/>
      <c r="M7" s="236"/>
      <c r="N7" s="236"/>
      <c r="O7" s="236"/>
      <c r="P7" s="237"/>
    </row>
    <row r="8" ht="30" customHeight="1" spans="1:16">
      <c r="A8" s="238" t="s">
        <v>139</v>
      </c>
      <c r="B8" s="239"/>
      <c r="C8" s="239"/>
      <c r="D8" s="239"/>
      <c r="E8" s="240" t="s">
        <v>140</v>
      </c>
      <c r="F8" s="241"/>
      <c r="G8" s="241"/>
      <c r="H8" s="241"/>
      <c r="I8" s="241"/>
      <c r="J8" s="241"/>
      <c r="K8" s="241"/>
      <c r="L8" s="241"/>
      <c r="M8" s="241"/>
      <c r="N8" s="241"/>
      <c r="O8" s="241"/>
      <c r="P8" s="242"/>
    </row>
    <row r="9" spans="1:16">
      <c r="A9" s="125">
        <v>60</v>
      </c>
      <c r="B9" s="125"/>
      <c r="C9" s="125"/>
      <c r="D9" s="125"/>
      <c r="E9" s="243" t="s">
        <v>141</v>
      </c>
      <c r="F9" s="244"/>
      <c r="G9" s="244"/>
      <c r="H9" s="244"/>
      <c r="I9" s="244"/>
      <c r="J9" s="244"/>
      <c r="K9" s="244"/>
      <c r="L9" s="244"/>
      <c r="M9" s="244"/>
      <c r="N9" s="244"/>
      <c r="O9" s="244"/>
      <c r="P9" s="245"/>
    </row>
    <row r="10" ht="8.45" customHeight="1" spans="1:16">
      <c r="A10" s="125"/>
      <c r="B10" s="125"/>
      <c r="C10" s="125"/>
      <c r="D10" s="125"/>
      <c r="E10" s="246"/>
      <c r="F10" s="247"/>
      <c r="G10" s="247"/>
      <c r="H10" s="247"/>
      <c r="I10" s="247"/>
      <c r="J10" s="247"/>
      <c r="K10" s="247"/>
      <c r="L10" s="247"/>
      <c r="M10" s="247"/>
      <c r="N10" s="247"/>
      <c r="O10" s="247"/>
      <c r="P10" s="248"/>
    </row>
    <row r="11" spans="1:16">
      <c r="A11" s="125">
        <v>60</v>
      </c>
      <c r="B11" s="125"/>
      <c r="C11" s="125"/>
      <c r="D11" s="125"/>
      <c r="E11" s="243"/>
      <c r="F11" s="244"/>
      <c r="G11" s="244"/>
      <c r="H11" s="244"/>
      <c r="I11" s="244"/>
      <c r="J11" s="244"/>
      <c r="K11" s="244"/>
      <c r="L11" s="244"/>
      <c r="M11" s="244"/>
      <c r="N11" s="244"/>
      <c r="O11" s="244"/>
      <c r="P11" s="245"/>
    </row>
    <row r="12" ht="7.15" customHeight="1" spans="1:16">
      <c r="A12" s="125"/>
      <c r="B12" s="125"/>
      <c r="C12" s="125"/>
      <c r="D12" s="125"/>
      <c r="E12" s="246"/>
      <c r="F12" s="247"/>
      <c r="G12" s="247"/>
      <c r="H12" s="247"/>
      <c r="I12" s="247"/>
      <c r="J12" s="247"/>
      <c r="K12" s="247"/>
      <c r="L12" s="247"/>
      <c r="M12" s="247"/>
      <c r="N12" s="247"/>
      <c r="O12" s="247"/>
      <c r="P12" s="248"/>
    </row>
    <row r="13" spans="1:16">
      <c r="A13" s="125" t="s">
        <v>53</v>
      </c>
      <c r="B13" s="125"/>
      <c r="C13" s="125"/>
      <c r="D13" s="125"/>
      <c r="E13" s="243"/>
      <c r="F13" s="244"/>
      <c r="G13" s="244"/>
      <c r="H13" s="244"/>
      <c r="I13" s="244"/>
      <c r="J13" s="244"/>
      <c r="K13" s="244"/>
      <c r="L13" s="244"/>
      <c r="M13" s="244"/>
      <c r="N13" s="244"/>
      <c r="O13" s="244"/>
      <c r="P13" s="245"/>
    </row>
    <row r="14" ht="6" customHeight="1" spans="1:16">
      <c r="A14" s="125"/>
      <c r="B14" s="125"/>
      <c r="C14" s="125"/>
      <c r="D14" s="125"/>
      <c r="E14" s="246"/>
      <c r="F14" s="247"/>
      <c r="G14" s="247"/>
      <c r="H14" s="247"/>
      <c r="I14" s="247"/>
      <c r="J14" s="247"/>
      <c r="K14" s="247"/>
      <c r="L14" s="247"/>
      <c r="M14" s="247"/>
      <c r="N14" s="247"/>
      <c r="O14" s="247"/>
      <c r="P14" s="248"/>
    </row>
    <row r="15" ht="16.15" customHeight="1" spans="1:16">
      <c r="A15" s="235" t="s">
        <v>142</v>
      </c>
      <c r="B15" s="236"/>
      <c r="C15" s="236"/>
      <c r="D15" s="236"/>
      <c r="E15" s="236"/>
      <c r="F15" s="236"/>
      <c r="G15" s="236"/>
      <c r="H15" s="236"/>
      <c r="I15" s="236"/>
      <c r="J15" s="236"/>
      <c r="K15" s="236"/>
      <c r="L15" s="236"/>
      <c r="M15" s="236"/>
      <c r="N15" s="236"/>
      <c r="O15" s="236"/>
      <c r="P15" s="237"/>
    </row>
    <row r="16" ht="31.15" customHeight="1" spans="1:16">
      <c r="A16" s="238" t="s">
        <v>139</v>
      </c>
      <c r="B16" s="239"/>
      <c r="C16" s="239"/>
      <c r="D16" s="239"/>
      <c r="E16" s="249" t="s">
        <v>140</v>
      </c>
      <c r="F16" s="250"/>
      <c r="G16" s="250"/>
      <c r="H16" s="250"/>
      <c r="I16" s="250"/>
      <c r="J16" s="250"/>
      <c r="K16" s="250"/>
      <c r="L16" s="250"/>
      <c r="M16" s="250"/>
      <c r="N16" s="250"/>
      <c r="O16" s="250"/>
      <c r="P16" s="250"/>
    </row>
    <row r="17" ht="22.15" customHeight="1" spans="1:16">
      <c r="A17" s="125">
        <v>14</v>
      </c>
      <c r="B17" s="125"/>
      <c r="C17" s="125"/>
      <c r="D17" s="125"/>
      <c r="E17" s="125" t="s">
        <v>143</v>
      </c>
      <c r="F17" s="125"/>
      <c r="G17" s="125"/>
      <c r="H17" s="125"/>
      <c r="I17" s="125"/>
      <c r="J17" s="125"/>
      <c r="K17" s="125"/>
      <c r="L17" s="125"/>
      <c r="M17" s="125"/>
      <c r="N17" s="125"/>
      <c r="O17" s="125"/>
      <c r="P17" s="125"/>
    </row>
    <row r="18" ht="25.15" customHeight="1" spans="1:16">
      <c r="A18" s="125">
        <v>14</v>
      </c>
      <c r="B18" s="125"/>
      <c r="C18" s="125"/>
      <c r="D18" s="125"/>
      <c r="E18" s="125"/>
      <c r="F18" s="125"/>
      <c r="G18" s="125"/>
      <c r="H18" s="125"/>
      <c r="I18" s="125"/>
      <c r="J18" s="125"/>
      <c r="K18" s="125"/>
      <c r="L18" s="125"/>
      <c r="M18" s="125"/>
      <c r="N18" s="125"/>
      <c r="O18" s="125"/>
      <c r="P18" s="125"/>
    </row>
    <row r="19" ht="22.9" customHeight="1" spans="1:16">
      <c r="A19" s="125">
        <v>14</v>
      </c>
      <c r="B19" s="125"/>
      <c r="C19" s="125"/>
      <c r="D19" s="125"/>
      <c r="E19" s="125"/>
      <c r="F19" s="125"/>
      <c r="G19" s="125"/>
      <c r="H19" s="125"/>
      <c r="I19" s="125"/>
      <c r="J19" s="125"/>
      <c r="K19" s="125"/>
      <c r="L19" s="125"/>
      <c r="M19" s="125"/>
      <c r="N19" s="125"/>
      <c r="O19" s="125"/>
      <c r="P19" s="125"/>
    </row>
    <row r="20" ht="20.45" customHeight="1" spans="1:16">
      <c r="A20" s="251" t="s">
        <v>144</v>
      </c>
      <c r="B20" s="252"/>
      <c r="C20" s="252"/>
      <c r="D20" s="252"/>
      <c r="E20" s="252"/>
      <c r="F20" s="252"/>
      <c r="G20" s="252"/>
      <c r="H20" s="252"/>
      <c r="I20" s="252"/>
      <c r="J20" s="252"/>
      <c r="K20" s="252"/>
      <c r="L20" s="252"/>
      <c r="M20" s="252"/>
      <c r="N20" s="252"/>
      <c r="O20" s="252"/>
      <c r="P20" s="253"/>
    </row>
    <row r="21" ht="31.9" customHeight="1" spans="1:16">
      <c r="A21" s="238" t="s">
        <v>139</v>
      </c>
      <c r="B21" s="239"/>
      <c r="C21" s="239"/>
      <c r="D21" s="239"/>
      <c r="E21" s="254" t="s">
        <v>140</v>
      </c>
      <c r="F21" s="255"/>
      <c r="G21" s="255"/>
      <c r="H21" s="255"/>
      <c r="I21" s="255"/>
      <c r="J21" s="255"/>
      <c r="K21" s="255"/>
      <c r="L21" s="255"/>
      <c r="M21" s="255"/>
      <c r="N21" s="255"/>
      <c r="O21" s="255"/>
      <c r="P21" s="256"/>
    </row>
    <row r="22" ht="20.45" customHeight="1" spans="1:16">
      <c r="A22" s="233" t="s">
        <v>145</v>
      </c>
      <c r="B22" s="257"/>
      <c r="C22" s="230">
        <v>60</v>
      </c>
      <c r="D22" s="230"/>
      <c r="E22" s="227"/>
      <c r="F22" s="2"/>
      <c r="G22" s="2"/>
      <c r="H22" s="2"/>
      <c r="I22" s="2"/>
      <c r="J22" s="2"/>
      <c r="K22" s="2"/>
      <c r="L22" s="2"/>
      <c r="M22" s="2"/>
      <c r="N22" s="2"/>
      <c r="O22" s="2"/>
      <c r="P22" s="228"/>
    </row>
    <row r="23" ht="21.6" customHeight="1" spans="1:16">
      <c r="A23" s="233" t="s">
        <v>146</v>
      </c>
      <c r="B23" s="257"/>
      <c r="C23" s="230">
        <v>60</v>
      </c>
      <c r="D23" s="230"/>
      <c r="E23" s="227"/>
      <c r="F23" s="2"/>
      <c r="G23" s="2"/>
      <c r="H23" s="2"/>
      <c r="I23" s="2"/>
      <c r="J23" s="2"/>
      <c r="K23" s="2"/>
      <c r="L23" s="2"/>
      <c r="M23" s="2"/>
      <c r="N23" s="2"/>
      <c r="O23" s="2"/>
      <c r="P23" s="228"/>
    </row>
    <row r="24" ht="18.6" customHeight="1" spans="1:16">
      <c r="A24" s="233" t="s">
        <v>147</v>
      </c>
      <c r="B24" s="257"/>
      <c r="C24" s="230" t="s">
        <v>53</v>
      </c>
      <c r="D24" s="230"/>
      <c r="E24" s="227"/>
      <c r="F24" s="2"/>
      <c r="G24" s="2"/>
      <c r="H24" s="2"/>
      <c r="I24" s="2"/>
      <c r="J24" s="2"/>
      <c r="K24" s="2"/>
      <c r="L24" s="2"/>
      <c r="M24" s="2"/>
      <c r="N24" s="2"/>
      <c r="O24" s="2"/>
      <c r="P24" s="228"/>
    </row>
    <row r="25" ht="19.9" customHeight="1" spans="1:16">
      <c r="A25" s="233" t="s">
        <v>148</v>
      </c>
      <c r="B25" s="257"/>
      <c r="C25" s="230" t="s">
        <v>53</v>
      </c>
      <c r="D25" s="230"/>
      <c r="E25" s="227"/>
      <c r="F25" s="2"/>
      <c r="G25" s="2"/>
      <c r="H25" s="2"/>
      <c r="I25" s="2"/>
      <c r="J25" s="2"/>
      <c r="K25" s="2"/>
      <c r="L25" s="2"/>
      <c r="M25" s="2"/>
      <c r="N25" s="2"/>
      <c r="O25" s="2"/>
      <c r="P25" s="228"/>
    </row>
    <row r="26" ht="16.9" customHeight="1" spans="1:16">
      <c r="A26" s="233" t="s">
        <v>149</v>
      </c>
      <c r="B26" s="257"/>
      <c r="C26" s="230" t="s">
        <v>53</v>
      </c>
      <c r="D26" s="230"/>
      <c r="E26" s="227"/>
      <c r="F26" s="2"/>
      <c r="G26" s="2"/>
      <c r="H26" s="2"/>
      <c r="I26" s="2"/>
      <c r="J26" s="2"/>
      <c r="K26" s="2"/>
      <c r="L26" s="2"/>
      <c r="M26" s="2"/>
      <c r="N26" s="2"/>
      <c r="O26" s="2"/>
      <c r="P26" s="228"/>
    </row>
    <row r="27" ht="16.9" customHeight="1" spans="1:16">
      <c r="A27" s="233" t="s">
        <v>150</v>
      </c>
      <c r="B27" s="257"/>
      <c r="C27" s="230" t="s">
        <v>53</v>
      </c>
      <c r="D27" s="230"/>
      <c r="E27" s="227"/>
      <c r="F27" s="2"/>
      <c r="G27" s="2"/>
      <c r="H27" s="2"/>
      <c r="I27" s="2"/>
      <c r="J27" s="2"/>
      <c r="K27" s="2"/>
      <c r="L27" s="2"/>
      <c r="M27" s="2"/>
      <c r="N27" s="2"/>
      <c r="O27" s="2"/>
      <c r="P27" s="228"/>
    </row>
    <row r="28" ht="33" customHeight="1" spans="1:16">
      <c r="A28" s="258" t="s">
        <v>151</v>
      </c>
      <c r="B28" s="259"/>
      <c r="C28" s="259"/>
      <c r="D28" s="259"/>
      <c r="E28" s="259"/>
      <c r="F28" s="259"/>
      <c r="G28" s="259"/>
      <c r="H28" s="259"/>
      <c r="I28" s="258" t="s">
        <v>152</v>
      </c>
      <c r="J28" s="259"/>
      <c r="K28" s="259"/>
      <c r="L28" s="259"/>
      <c r="M28" s="259"/>
      <c r="N28" s="259"/>
      <c r="O28" s="259"/>
      <c r="P28" s="259"/>
    </row>
    <row r="29" spans="1:16">
      <c r="A29" s="230"/>
      <c r="B29" s="230"/>
      <c r="C29" s="230"/>
      <c r="D29" s="230"/>
      <c r="E29" s="230"/>
      <c r="F29" s="230"/>
      <c r="G29" s="230"/>
      <c r="H29" s="230"/>
      <c r="I29" s="230"/>
      <c r="J29" s="230"/>
      <c r="K29" s="230"/>
      <c r="L29" s="230"/>
      <c r="M29" s="230"/>
      <c r="N29" s="230"/>
      <c r="O29" s="230"/>
      <c r="P29" s="230"/>
    </row>
    <row r="30" spans="1:16">
      <c r="A30" s="230"/>
      <c r="B30" s="230"/>
      <c r="C30" s="230"/>
      <c r="D30" s="230"/>
      <c r="E30" s="230"/>
      <c r="F30" s="230"/>
      <c r="G30" s="230"/>
      <c r="H30" s="230"/>
      <c r="I30" s="230"/>
      <c r="J30" s="230"/>
      <c r="K30" s="230"/>
      <c r="L30" s="230"/>
      <c r="M30" s="230"/>
      <c r="N30" s="230"/>
      <c r="O30" s="230"/>
      <c r="P30" s="230"/>
    </row>
    <row r="31" spans="1:16">
      <c r="A31" s="230"/>
      <c r="B31" s="230"/>
      <c r="C31" s="230"/>
      <c r="D31" s="230"/>
      <c r="E31" s="230"/>
      <c r="F31" s="230"/>
      <c r="G31" s="230"/>
      <c r="H31" s="230"/>
      <c r="I31" s="230"/>
      <c r="J31" s="230"/>
      <c r="K31" s="230"/>
      <c r="L31" s="230"/>
      <c r="M31" s="230"/>
      <c r="N31" s="230"/>
      <c r="O31" s="230"/>
      <c r="P31" s="230"/>
    </row>
    <row r="32" spans="1:16">
      <c r="A32" s="230"/>
      <c r="B32" s="230"/>
      <c r="C32" s="230"/>
      <c r="D32" s="230"/>
      <c r="E32" s="230"/>
      <c r="F32" s="230"/>
      <c r="G32" s="230"/>
      <c r="H32" s="230"/>
      <c r="I32" s="230"/>
      <c r="J32" s="230"/>
      <c r="K32" s="230"/>
      <c r="L32" s="230"/>
      <c r="M32" s="230"/>
      <c r="N32" s="230"/>
      <c r="O32" s="230"/>
      <c r="P32" s="230"/>
    </row>
    <row r="33" spans="1:16">
      <c r="A33" s="230"/>
      <c r="B33" s="230"/>
      <c r="C33" s="230"/>
      <c r="D33" s="230"/>
      <c r="E33" s="230"/>
      <c r="F33" s="230"/>
      <c r="G33" s="230"/>
      <c r="H33" s="230"/>
      <c r="I33" s="230"/>
      <c r="J33" s="230"/>
      <c r="K33" s="230"/>
      <c r="L33" s="230"/>
      <c r="M33" s="230"/>
      <c r="N33" s="230"/>
      <c r="O33" s="230"/>
      <c r="P33" s="230"/>
    </row>
    <row r="34" spans="1:16">
      <c r="A34" s="230"/>
      <c r="B34" s="230"/>
      <c r="C34" s="230"/>
      <c r="D34" s="230"/>
      <c r="E34" s="230"/>
      <c r="F34" s="230"/>
      <c r="G34" s="230"/>
      <c r="H34" s="230"/>
      <c r="I34" s="230"/>
      <c r="J34" s="230"/>
      <c r="K34" s="230"/>
      <c r="L34" s="230"/>
      <c r="M34" s="230"/>
      <c r="N34" s="230"/>
      <c r="O34" s="230"/>
      <c r="P34" s="230"/>
    </row>
    <row r="35" spans="1:16">
      <c r="A35" s="230"/>
      <c r="B35" s="230"/>
      <c r="C35" s="230"/>
      <c r="D35" s="230"/>
      <c r="E35" s="230"/>
      <c r="F35" s="230"/>
      <c r="G35" s="230"/>
      <c r="H35" s="230"/>
      <c r="I35" s="230"/>
      <c r="J35" s="230"/>
      <c r="K35" s="230"/>
      <c r="L35" s="230"/>
      <c r="M35" s="230"/>
      <c r="N35" s="230"/>
      <c r="O35" s="230"/>
      <c r="P35" s="230"/>
    </row>
    <row r="36" spans="1:16">
      <c r="A36" s="230"/>
      <c r="B36" s="230"/>
      <c r="C36" s="230"/>
      <c r="D36" s="230"/>
      <c r="E36" s="230"/>
      <c r="F36" s="230"/>
      <c r="G36" s="230"/>
      <c r="H36" s="230"/>
      <c r="I36" s="230"/>
      <c r="J36" s="230"/>
      <c r="K36" s="230"/>
      <c r="L36" s="230"/>
      <c r="M36" s="230"/>
      <c r="N36" s="230"/>
      <c r="O36" s="230"/>
      <c r="P36" s="230"/>
    </row>
    <row r="37" spans="1:16">
      <c r="A37" s="230"/>
      <c r="B37" s="230"/>
      <c r="C37" s="230"/>
      <c r="D37" s="230"/>
      <c r="E37" s="230"/>
      <c r="F37" s="230"/>
      <c r="G37" s="230"/>
      <c r="H37" s="230"/>
      <c r="I37" s="230"/>
      <c r="J37" s="230"/>
      <c r="K37" s="230"/>
      <c r="L37" s="230"/>
      <c r="M37" s="230"/>
      <c r="N37" s="230"/>
      <c r="O37" s="230"/>
      <c r="P37" s="230"/>
    </row>
    <row r="38" spans="1:16">
      <c r="A38" s="230"/>
      <c r="B38" s="230"/>
      <c r="C38" s="230"/>
      <c r="D38" s="230"/>
      <c r="E38" s="230"/>
      <c r="F38" s="230"/>
      <c r="G38" s="230"/>
      <c r="H38" s="230"/>
      <c r="I38" s="230"/>
      <c r="J38" s="230"/>
      <c r="K38" s="230"/>
      <c r="L38" s="230"/>
      <c r="M38" s="230"/>
      <c r="N38" s="230"/>
      <c r="O38" s="230"/>
      <c r="P38" s="230"/>
    </row>
    <row r="39" spans="1:16">
      <c r="A39" s="230"/>
      <c r="B39" s="230"/>
      <c r="C39" s="230"/>
      <c r="D39" s="230"/>
      <c r="E39" s="230"/>
      <c r="F39" s="230"/>
      <c r="G39" s="230"/>
      <c r="H39" s="230"/>
      <c r="I39" s="230"/>
      <c r="J39" s="230"/>
      <c r="K39" s="230"/>
      <c r="L39" s="230"/>
      <c r="M39" s="230"/>
      <c r="N39" s="230"/>
      <c r="O39" s="230"/>
      <c r="P39" s="230"/>
    </row>
    <row r="40" spans="1:16">
      <c r="A40" s="230"/>
      <c r="B40" s="230"/>
      <c r="C40" s="230"/>
      <c r="D40" s="230"/>
      <c r="E40" s="230"/>
      <c r="F40" s="230"/>
      <c r="G40" s="230"/>
      <c r="H40" s="230"/>
      <c r="I40" s="230"/>
      <c r="J40" s="230"/>
      <c r="K40" s="230"/>
      <c r="L40" s="230"/>
      <c r="M40" s="230"/>
      <c r="N40" s="230"/>
      <c r="O40" s="230"/>
      <c r="P40" s="230"/>
    </row>
  </sheetData>
  <mergeCells count="60">
    <mergeCell ref="A1:P1"/>
    <mergeCell ref="A2:P2"/>
    <mergeCell ref="A3:H3"/>
    <mergeCell ref="I3:P3"/>
    <mergeCell ref="I4:P4"/>
    <mergeCell ref="I5:J5"/>
    <mergeCell ref="K5:L5"/>
    <mergeCell ref="I6:J6"/>
    <mergeCell ref="K6:L6"/>
    <mergeCell ref="A7:P7"/>
    <mergeCell ref="A8:D8"/>
    <mergeCell ref="E8:P8"/>
    <mergeCell ref="A15:P15"/>
    <mergeCell ref="A16:D16"/>
    <mergeCell ref="E16:P16"/>
    <mergeCell ref="A17:D17"/>
    <mergeCell ref="E17:P17"/>
    <mergeCell ref="A18:D18"/>
    <mergeCell ref="E18:P18"/>
    <mergeCell ref="A19:D19"/>
    <mergeCell ref="E19:P19"/>
    <mergeCell ref="A20:P20"/>
    <mergeCell ref="A21:D21"/>
    <mergeCell ref="E21:P21"/>
    <mergeCell ref="A22:B22"/>
    <mergeCell ref="C22:D22"/>
    <mergeCell ref="E22:P22"/>
    <mergeCell ref="A23:B23"/>
    <mergeCell ref="C23:D23"/>
    <mergeCell ref="E23:P23"/>
    <mergeCell ref="A24:B24"/>
    <mergeCell ref="C24:D24"/>
    <mergeCell ref="E24:P24"/>
    <mergeCell ref="A25:B25"/>
    <mergeCell ref="C25:D25"/>
    <mergeCell ref="E25:P25"/>
    <mergeCell ref="A26:B26"/>
    <mergeCell ref="C26:D26"/>
    <mergeCell ref="E26:P26"/>
    <mergeCell ref="A27:B27"/>
    <mergeCell ref="C27:D27"/>
    <mergeCell ref="E27:P27"/>
    <mergeCell ref="A28:H28"/>
    <mergeCell ref="I28:P28"/>
    <mergeCell ref="A4:A6"/>
    <mergeCell ref="B4:B6"/>
    <mergeCell ref="C4:C6"/>
    <mergeCell ref="D4:D6"/>
    <mergeCell ref="E4:E6"/>
    <mergeCell ref="F4:F6"/>
    <mergeCell ref="G4:G6"/>
    <mergeCell ref="H4:H6"/>
    <mergeCell ref="E9:P10"/>
    <mergeCell ref="E11:P12"/>
    <mergeCell ref="E13:P14"/>
    <mergeCell ref="A11:D12"/>
    <mergeCell ref="A13:D14"/>
    <mergeCell ref="A29:H40"/>
    <mergeCell ref="I29:P40"/>
    <mergeCell ref="A9:D10"/>
  </mergeCells>
  <pageMargins left="0.7" right="0.7" top="0.75" bottom="0.75" header="0.3" footer="0.3"/>
  <pageSetup paperSize="9" scale="93" orientation="portrait"/>
  <headerFooter/>
  <colBreaks count="1" manualBreakCount="1">
    <brk id="16" max="44"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view="pageBreakPreview" zoomScalePageLayoutView="99" zoomScaleNormal="100" showWhiteSpace="0" topLeftCell="A12" workbookViewId="0">
      <selection activeCell="F18" sqref="F18"/>
    </sheetView>
  </sheetViews>
  <sheetFormatPr defaultColWidth="9" defaultRowHeight="16.8" outlineLevelCol="7"/>
  <cols>
    <col min="1" max="1" width="6.5" customWidth="1"/>
    <col min="2" max="2" width="12.5" customWidth="1"/>
    <col min="3" max="3" width="11.25" customWidth="1"/>
    <col min="4" max="4" width="14" customWidth="1"/>
    <col min="5" max="5" width="11.875" customWidth="1"/>
    <col min="6" max="6" width="17.5" customWidth="1"/>
    <col min="7" max="7" width="13.875" customWidth="1"/>
    <col min="8" max="8" width="27" customWidth="1"/>
  </cols>
  <sheetData>
    <row r="1" ht="31.6" spans="1:8">
      <c r="A1" s="202" t="s">
        <v>153</v>
      </c>
      <c r="B1" s="202"/>
      <c r="C1" s="202"/>
      <c r="D1" s="202"/>
      <c r="E1" s="202"/>
      <c r="F1" s="202"/>
      <c r="G1" s="202"/>
      <c r="H1" s="202"/>
    </row>
    <row r="2" ht="6.6" customHeight="1" spans="1:8">
      <c r="A2" s="203"/>
      <c r="B2" s="203"/>
      <c r="C2" s="203"/>
      <c r="D2" s="203"/>
      <c r="E2" s="203"/>
      <c r="F2" s="203"/>
      <c r="G2" s="203"/>
      <c r="H2" s="203"/>
    </row>
    <row r="3" ht="22.15" customHeight="1" spans="1:8">
      <c r="A3" s="204" t="s">
        <v>154</v>
      </c>
      <c r="B3" s="204"/>
      <c r="C3" s="204"/>
      <c r="D3" s="204"/>
      <c r="E3" s="204"/>
      <c r="F3" s="204"/>
      <c r="G3" s="204"/>
      <c r="H3" s="204"/>
    </row>
    <row r="4" ht="31.15" customHeight="1" spans="1:8">
      <c r="A4" s="205"/>
      <c r="B4" s="205"/>
      <c r="C4" s="205"/>
      <c r="D4" s="205"/>
      <c r="E4" s="205"/>
      <c r="F4" s="205"/>
      <c r="G4" s="205"/>
      <c r="H4" s="205"/>
    </row>
    <row r="5" ht="29.45" customHeight="1" spans="1:8">
      <c r="A5" s="205"/>
      <c r="B5" s="205"/>
      <c r="C5" s="205"/>
      <c r="D5" s="205"/>
      <c r="E5" s="205"/>
      <c r="F5" s="205"/>
      <c r="G5" s="205"/>
      <c r="H5" s="205"/>
    </row>
    <row r="6" ht="33" customHeight="1" spans="1:8">
      <c r="A6" s="205"/>
      <c r="B6" s="205"/>
      <c r="C6" s="205"/>
      <c r="D6" s="205"/>
      <c r="E6" s="205"/>
      <c r="F6" s="205"/>
      <c r="G6" s="205"/>
      <c r="H6" s="205"/>
    </row>
    <row r="7" ht="27" customHeight="1" spans="1:8">
      <c r="A7" s="205"/>
      <c r="B7" s="205"/>
      <c r="C7" s="205"/>
      <c r="D7" s="205"/>
      <c r="E7" s="205"/>
      <c r="F7" s="205"/>
      <c r="G7" s="205"/>
      <c r="H7" s="205"/>
    </row>
    <row r="8" ht="31.15" customHeight="1" spans="1:8">
      <c r="A8" s="205"/>
      <c r="B8" s="205"/>
      <c r="C8" s="205"/>
      <c r="D8" s="205"/>
      <c r="E8" s="205"/>
      <c r="F8" s="205"/>
      <c r="G8" s="205"/>
      <c r="H8" s="205"/>
    </row>
    <row r="9" ht="26.45" customHeight="1" spans="1:8">
      <c r="A9" s="205"/>
      <c r="B9" s="205"/>
      <c r="C9" s="205"/>
      <c r="D9" s="205"/>
      <c r="E9" s="205"/>
      <c r="F9" s="205"/>
      <c r="G9" s="205"/>
      <c r="H9" s="205"/>
    </row>
    <row r="10" ht="33" customHeight="1" spans="1:8">
      <c r="A10" s="205"/>
      <c r="B10" s="205"/>
      <c r="C10" s="205"/>
      <c r="D10" s="205"/>
      <c r="E10" s="205"/>
      <c r="F10" s="205"/>
      <c r="G10" s="205"/>
      <c r="H10" s="205"/>
    </row>
    <row r="11" ht="126.6" customHeight="1" spans="1:8">
      <c r="A11" s="205"/>
      <c r="B11" s="205"/>
      <c r="C11" s="205"/>
      <c r="D11" s="205"/>
      <c r="E11" s="205"/>
      <c r="F11" s="205"/>
      <c r="G11" s="205"/>
      <c r="H11" s="205"/>
    </row>
    <row r="12" ht="21.6" customHeight="1" spans="1:8">
      <c r="A12" s="206" t="s">
        <v>155</v>
      </c>
      <c r="B12" s="206"/>
      <c r="C12" s="206"/>
      <c r="D12" s="206"/>
      <c r="E12" s="206"/>
      <c r="F12" s="206"/>
      <c r="G12" s="206"/>
      <c r="H12" s="206"/>
    </row>
    <row r="13" ht="13.15" customHeight="1" spans="1:8">
      <c r="A13" s="207" t="s">
        <v>156</v>
      </c>
      <c r="B13" s="207"/>
      <c r="C13" s="208"/>
      <c r="D13" s="209" t="s">
        <v>157</v>
      </c>
      <c r="E13" s="209" t="s">
        <v>158</v>
      </c>
      <c r="F13" s="209" t="s">
        <v>159</v>
      </c>
      <c r="G13" s="210" t="s">
        <v>160</v>
      </c>
      <c r="H13" s="210" t="s">
        <v>161</v>
      </c>
    </row>
    <row r="14" ht="12" customHeight="1" spans="1:8">
      <c r="A14" s="211"/>
      <c r="B14" s="211"/>
      <c r="C14" s="212"/>
      <c r="D14" s="213"/>
      <c r="E14" s="213"/>
      <c r="F14" s="213"/>
      <c r="G14" s="214"/>
      <c r="H14" s="214"/>
    </row>
    <row r="15" ht="18" customHeight="1" spans="1:8">
      <c r="A15" s="214" t="s">
        <v>162</v>
      </c>
      <c r="B15" s="214"/>
      <c r="C15" s="213" t="s">
        <v>163</v>
      </c>
      <c r="D15" s="213" t="s">
        <v>164</v>
      </c>
      <c r="E15" s="213" t="s">
        <v>165</v>
      </c>
      <c r="F15" s="213" t="s">
        <v>166</v>
      </c>
      <c r="G15" s="214" t="s">
        <v>167</v>
      </c>
      <c r="H15" s="214" t="s">
        <v>168</v>
      </c>
    </row>
    <row r="16" ht="15.6" customHeight="1" spans="1:8">
      <c r="A16" s="215">
        <v>0.9</v>
      </c>
      <c r="B16" s="215"/>
      <c r="C16" s="216">
        <v>68.8</v>
      </c>
      <c r="D16" s="216">
        <v>30</v>
      </c>
      <c r="E16" s="216">
        <v>2</v>
      </c>
      <c r="F16" s="216">
        <v>115</v>
      </c>
      <c r="G16" s="217">
        <f t="shared" ref="G16:G22" si="0">1/E16</f>
        <v>0.5</v>
      </c>
      <c r="H16" s="218">
        <f t="shared" ref="H16:H22" si="1">E16*F16</f>
        <v>230</v>
      </c>
    </row>
    <row r="17" ht="18" customHeight="1" spans="1:8">
      <c r="A17" s="215">
        <v>0.8</v>
      </c>
      <c r="B17" s="215"/>
      <c r="C17" s="216">
        <v>60.9</v>
      </c>
      <c r="D17" s="216">
        <v>30</v>
      </c>
      <c r="E17" s="216">
        <v>2.3</v>
      </c>
      <c r="F17" s="216">
        <v>110</v>
      </c>
      <c r="G17" s="217">
        <f t="shared" si="0"/>
        <v>0.434782608695652</v>
      </c>
      <c r="H17" s="218">
        <f t="shared" si="1"/>
        <v>253</v>
      </c>
    </row>
    <row r="18" ht="17.45" customHeight="1" spans="1:8">
      <c r="A18" s="215">
        <v>0.7</v>
      </c>
      <c r="B18" s="215"/>
      <c r="C18" s="216">
        <v>52.9</v>
      </c>
      <c r="D18" s="216">
        <v>30</v>
      </c>
      <c r="E18" s="216">
        <v>2.6</v>
      </c>
      <c r="F18" s="216">
        <v>105.8</v>
      </c>
      <c r="G18" s="217">
        <f t="shared" si="0"/>
        <v>0.384615384615385</v>
      </c>
      <c r="H18" s="218">
        <f t="shared" si="1"/>
        <v>275.08</v>
      </c>
    </row>
    <row r="19" ht="19.9" customHeight="1" spans="1:8">
      <c r="A19" s="215">
        <v>0.6</v>
      </c>
      <c r="B19" s="215"/>
      <c r="C19" s="216">
        <v>45.3</v>
      </c>
      <c r="D19" s="216">
        <v>30</v>
      </c>
      <c r="E19" s="216">
        <v>3</v>
      </c>
      <c r="F19" s="216">
        <v>101.7</v>
      </c>
      <c r="G19" s="217">
        <f t="shared" si="0"/>
        <v>0.333333333333333</v>
      </c>
      <c r="H19" s="218">
        <f t="shared" si="1"/>
        <v>305.1</v>
      </c>
    </row>
    <row r="20" ht="20.45" customHeight="1" spans="1:8">
      <c r="A20" s="215">
        <v>0.5</v>
      </c>
      <c r="B20" s="215"/>
      <c r="C20" s="216">
        <v>37.3</v>
      </c>
      <c r="D20" s="216">
        <v>30</v>
      </c>
      <c r="E20" s="216">
        <v>3.6</v>
      </c>
      <c r="F20" s="216">
        <v>97.4</v>
      </c>
      <c r="G20" s="217">
        <f t="shared" si="0"/>
        <v>0.277777777777778</v>
      </c>
      <c r="H20" s="218">
        <f t="shared" si="1"/>
        <v>350.64</v>
      </c>
    </row>
    <row r="21" ht="22.15" customHeight="1" spans="1:8">
      <c r="A21" s="215">
        <v>0.3</v>
      </c>
      <c r="B21" s="215"/>
      <c r="C21" s="216">
        <v>22.2</v>
      </c>
      <c r="D21" s="216">
        <v>30</v>
      </c>
      <c r="E21" s="216">
        <v>5.9</v>
      </c>
      <c r="F21" s="216">
        <v>87.7</v>
      </c>
      <c r="G21" s="217">
        <f t="shared" si="0"/>
        <v>0.169491525423729</v>
      </c>
      <c r="H21" s="218">
        <f t="shared" si="1"/>
        <v>517.43</v>
      </c>
    </row>
    <row r="22" ht="21.6" customHeight="1" spans="1:8">
      <c r="A22" s="215">
        <v>0.1</v>
      </c>
      <c r="B22" s="215"/>
      <c r="C22" s="216">
        <v>6.8</v>
      </c>
      <c r="D22" s="216">
        <v>30</v>
      </c>
      <c r="E22" s="216">
        <v>19.6</v>
      </c>
      <c r="F22" s="216">
        <v>94.1</v>
      </c>
      <c r="G22" s="217">
        <f t="shared" si="0"/>
        <v>0.0510204081632653</v>
      </c>
      <c r="H22" s="218">
        <f t="shared" si="1"/>
        <v>1844.36</v>
      </c>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ht="18" customHeight="1" spans="1:8">
      <c r="A30" s="4"/>
      <c r="B30" s="4"/>
      <c r="C30" s="4"/>
      <c r="D30" s="4"/>
      <c r="E30" s="4"/>
      <c r="F30" s="4"/>
      <c r="G30" s="4"/>
      <c r="H30" s="4"/>
    </row>
    <row r="31" ht="18" customHeight="1" spans="1:8">
      <c r="A31" s="4"/>
      <c r="B31" s="4"/>
      <c r="C31" s="4"/>
      <c r="D31" s="4"/>
      <c r="E31" s="4"/>
      <c r="F31" s="4"/>
      <c r="G31" s="4"/>
      <c r="H31" s="4"/>
    </row>
    <row r="32" spans="1:8">
      <c r="A32" s="4"/>
      <c r="B32" s="4"/>
      <c r="C32" s="4"/>
      <c r="D32" s="4"/>
      <c r="E32" s="4"/>
      <c r="F32" s="4"/>
      <c r="G32" s="4"/>
      <c r="H32" s="4"/>
    </row>
    <row r="33" ht="6.6" customHeight="1" spans="1:8">
      <c r="A33" s="4"/>
      <c r="B33" s="4"/>
      <c r="C33" s="4"/>
      <c r="D33" s="4"/>
      <c r="E33" s="4"/>
      <c r="F33" s="4"/>
      <c r="G33" s="4"/>
      <c r="H33" s="4"/>
    </row>
    <row r="34" ht="2.45" customHeight="1" spans="1:8">
      <c r="A34" s="4"/>
      <c r="B34" s="4"/>
      <c r="C34" s="4"/>
      <c r="D34" s="4"/>
      <c r="E34" s="4"/>
      <c r="F34" s="4"/>
      <c r="G34" s="4"/>
      <c r="H34" s="4"/>
    </row>
    <row r="35" hidden="1" spans="1:8">
      <c r="A35" s="4"/>
      <c r="B35" s="4"/>
      <c r="C35" s="4"/>
      <c r="D35" s="4"/>
      <c r="E35" s="4"/>
      <c r="F35" s="4"/>
      <c r="G35" s="4"/>
      <c r="H35" s="4"/>
    </row>
    <row r="36" ht="16.15" customHeight="1" spans="1:8">
      <c r="A36" s="4"/>
      <c r="B36" s="4"/>
      <c r="C36" s="4"/>
      <c r="D36" s="4"/>
      <c r="E36" s="4"/>
      <c r="F36" s="4"/>
      <c r="G36" s="4"/>
      <c r="H36" s="4"/>
    </row>
    <row r="37" ht="14.45" customHeight="1" spans="1:8">
      <c r="A37" s="4"/>
      <c r="B37" s="4"/>
      <c r="C37" s="4"/>
      <c r="D37" s="4"/>
      <c r="E37" s="4"/>
      <c r="F37" s="4"/>
      <c r="G37" s="4"/>
      <c r="H37" s="4"/>
    </row>
    <row r="38" ht="32.45" customHeight="1" spans="1:8">
      <c r="A38" s="4"/>
      <c r="B38" s="219" t="s">
        <v>169</v>
      </c>
      <c r="C38" s="219"/>
      <c r="D38" s="219"/>
      <c r="E38" s="4"/>
      <c r="F38" s="4"/>
      <c r="G38" s="4"/>
      <c r="H38" s="4"/>
    </row>
    <row r="39" ht="28.9" customHeight="1" spans="1:8">
      <c r="A39" s="4"/>
      <c r="B39" s="220" t="s">
        <v>170</v>
      </c>
      <c r="C39" s="221" t="s">
        <v>125</v>
      </c>
      <c r="D39" s="221"/>
      <c r="E39" s="4"/>
      <c r="F39" s="4"/>
      <c r="G39" s="4"/>
      <c r="H39" s="4"/>
    </row>
    <row r="40" ht="26.45" customHeight="1" spans="1:8">
      <c r="A40" s="4"/>
      <c r="B40" s="222" t="s">
        <v>171</v>
      </c>
      <c r="C40" s="221" t="s">
        <v>172</v>
      </c>
      <c r="D40" s="221"/>
      <c r="E40" s="4"/>
      <c r="F40" s="4"/>
      <c r="G40" s="4"/>
      <c r="H40" s="4"/>
    </row>
    <row r="41" spans="1:8">
      <c r="A41" s="4"/>
      <c r="B41" s="4"/>
      <c r="C41" s="4"/>
      <c r="D41" s="4"/>
      <c r="E41" s="4"/>
      <c r="F41" s="4"/>
      <c r="G41" s="4"/>
      <c r="H41" s="4"/>
    </row>
    <row r="42" spans="1:8">
      <c r="A42" s="4"/>
      <c r="B42" s="4"/>
      <c r="C42" s="4"/>
      <c r="D42" s="4"/>
      <c r="E42" s="4"/>
      <c r="F42" s="4"/>
      <c r="G42" s="4"/>
      <c r="H42" s="4"/>
    </row>
  </sheetData>
  <mergeCells count="20">
    <mergeCell ref="A1:H1"/>
    <mergeCell ref="A12:H12"/>
    <mergeCell ref="A15:B15"/>
    <mergeCell ref="A16:B16"/>
    <mergeCell ref="A17:B17"/>
    <mergeCell ref="A18:B18"/>
    <mergeCell ref="A19:B19"/>
    <mergeCell ref="A20:B20"/>
    <mergeCell ref="A21:B21"/>
    <mergeCell ref="A22:B22"/>
    <mergeCell ref="B38:D38"/>
    <mergeCell ref="C39:D39"/>
    <mergeCell ref="C40:D40"/>
    <mergeCell ref="D13:D14"/>
    <mergeCell ref="E13:E14"/>
    <mergeCell ref="F13:F14"/>
    <mergeCell ref="G13:G14"/>
    <mergeCell ref="H13:H14"/>
    <mergeCell ref="A3:H11"/>
    <mergeCell ref="A13:C14"/>
  </mergeCells>
  <dataValidations count="1">
    <dataValidation type="list" allowBlank="1" showInputMessage="1" showErrorMessage="1" sqref="F15">
      <formula1>"Mpa,Bar"</formula1>
    </dataValidation>
  </dataValidations>
  <pageMargins left="0.675" right="0.435606060606061" top="0.75" bottom="0.75" header="0.3" footer="0.3"/>
  <pageSetup paperSize="9" scale="78"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view="pageBreakPreview" zoomScaleNormal="100" topLeftCell="A22" workbookViewId="0">
      <selection activeCell="H25" sqref="H25"/>
    </sheetView>
  </sheetViews>
  <sheetFormatPr defaultColWidth="10.875" defaultRowHeight="16.8" outlineLevelCol="7"/>
  <cols>
    <col min="1" max="1" width="12.25" customWidth="1"/>
    <col min="2" max="2" width="8.5" customWidth="1"/>
    <col min="3" max="3" width="19.25" customWidth="1"/>
    <col min="4" max="4" width="9.5" customWidth="1"/>
    <col min="5" max="5" width="14" customWidth="1"/>
    <col min="6" max="6" width="14.875" customWidth="1"/>
    <col min="7" max="7" width="12.75" customWidth="1"/>
    <col min="8" max="8" width="18.5" customWidth="1"/>
  </cols>
  <sheetData>
    <row r="1" ht="34.4" spans="1:8">
      <c r="A1" s="195" t="s">
        <v>173</v>
      </c>
      <c r="B1" s="195"/>
      <c r="C1" s="195"/>
      <c r="D1" s="195"/>
      <c r="E1" s="195"/>
      <c r="F1" s="195"/>
      <c r="G1" s="195"/>
      <c r="H1" s="195"/>
    </row>
    <row r="2" ht="6.6" customHeight="1" spans="1:8">
      <c r="A2" s="196"/>
      <c r="B2" s="196"/>
      <c r="C2" s="196"/>
      <c r="D2" s="196"/>
      <c r="E2" s="196"/>
      <c r="F2" s="196"/>
      <c r="G2" s="196"/>
      <c r="H2" s="196"/>
    </row>
    <row r="3" ht="32.45" customHeight="1" spans="1:8">
      <c r="A3" s="121" t="s">
        <v>174</v>
      </c>
      <c r="B3" s="121"/>
      <c r="C3" s="121"/>
      <c r="D3" s="121"/>
      <c r="E3" s="121"/>
      <c r="F3" s="121"/>
      <c r="G3" s="121"/>
      <c r="H3" s="121"/>
    </row>
    <row r="4" spans="1:8">
      <c r="A4" s="197"/>
      <c r="B4" s="197"/>
      <c r="C4" s="197"/>
      <c r="D4" s="197"/>
      <c r="E4" s="197"/>
      <c r="F4" s="197"/>
      <c r="G4" s="197"/>
      <c r="H4" s="197"/>
    </row>
    <row r="5" spans="1:8">
      <c r="A5" s="197"/>
      <c r="B5" s="197"/>
      <c r="C5" s="197"/>
      <c r="D5" s="197"/>
      <c r="E5" s="197"/>
      <c r="F5" s="197"/>
      <c r="G5" s="197"/>
      <c r="H5" s="197"/>
    </row>
    <row r="6" spans="1:8">
      <c r="A6" s="197"/>
      <c r="B6" s="197"/>
      <c r="C6" s="197"/>
      <c r="D6" s="197"/>
      <c r="E6" s="197"/>
      <c r="F6" s="197"/>
      <c r="G6" s="197"/>
      <c r="H6" s="197"/>
    </row>
    <row r="7" spans="1:8">
      <c r="A7" s="197"/>
      <c r="B7" s="197"/>
      <c r="C7" s="197"/>
      <c r="D7" s="197"/>
      <c r="E7" s="197"/>
      <c r="F7" s="197"/>
      <c r="G7" s="197"/>
      <c r="H7" s="197"/>
    </row>
    <row r="8" spans="1:8">
      <c r="A8" s="197"/>
      <c r="B8" s="197"/>
      <c r="C8" s="197"/>
      <c r="D8" s="197"/>
      <c r="E8" s="197"/>
      <c r="F8" s="197"/>
      <c r="G8" s="197"/>
      <c r="H8" s="197"/>
    </row>
    <row r="9" ht="25.9" customHeight="1" spans="1:8">
      <c r="A9" s="197"/>
      <c r="B9" s="197"/>
      <c r="C9" s="197"/>
      <c r="D9" s="197"/>
      <c r="E9" s="197"/>
      <c r="F9" s="197"/>
      <c r="G9" s="197"/>
      <c r="H9" s="197"/>
    </row>
    <row r="10" ht="21" customHeight="1" spans="1:8">
      <c r="A10" s="197"/>
      <c r="B10" s="197"/>
      <c r="C10" s="197"/>
      <c r="D10" s="197"/>
      <c r="E10" s="197"/>
      <c r="F10" s="197"/>
      <c r="G10" s="197"/>
      <c r="H10" s="197"/>
    </row>
    <row r="11" ht="18" customHeight="1" spans="1:8">
      <c r="A11" s="197"/>
      <c r="B11" s="197"/>
      <c r="C11" s="197"/>
      <c r="D11" s="197"/>
      <c r="E11" s="197"/>
      <c r="F11" s="197"/>
      <c r="G11" s="197"/>
      <c r="H11" s="197"/>
    </row>
    <row r="12" spans="1:8">
      <c r="A12" s="197"/>
      <c r="B12" s="197"/>
      <c r="C12" s="197"/>
      <c r="D12" s="197"/>
      <c r="E12" s="197"/>
      <c r="F12" s="197"/>
      <c r="G12" s="197"/>
      <c r="H12" s="197"/>
    </row>
    <row r="13" ht="19.15" customHeight="1" spans="1:8">
      <c r="A13" s="197"/>
      <c r="B13" s="197"/>
      <c r="C13" s="197"/>
      <c r="D13" s="197"/>
      <c r="E13" s="197"/>
      <c r="F13" s="197"/>
      <c r="G13" s="197"/>
      <c r="H13" s="197"/>
    </row>
    <row r="14" spans="1:8">
      <c r="A14" s="197"/>
      <c r="B14" s="197"/>
      <c r="C14" s="197"/>
      <c r="D14" s="197"/>
      <c r="E14" s="197"/>
      <c r="F14" s="197"/>
      <c r="G14" s="197"/>
      <c r="H14" s="197"/>
    </row>
    <row r="15" spans="1:8">
      <c r="A15" s="197"/>
      <c r="B15" s="197"/>
      <c r="C15" s="197"/>
      <c r="D15" s="197"/>
      <c r="E15" s="197"/>
      <c r="F15" s="197"/>
      <c r="G15" s="197"/>
      <c r="H15" s="197"/>
    </row>
    <row r="16" spans="1:8">
      <c r="A16" s="197"/>
      <c r="B16" s="197"/>
      <c r="C16" s="197"/>
      <c r="D16" s="197"/>
      <c r="E16" s="197"/>
      <c r="F16" s="197"/>
      <c r="G16" s="197"/>
      <c r="H16" s="197"/>
    </row>
    <row r="17" spans="1:8">
      <c r="A17" s="197"/>
      <c r="B17" s="197"/>
      <c r="C17" s="197"/>
      <c r="D17" s="197"/>
      <c r="E17" s="197"/>
      <c r="F17" s="197"/>
      <c r="G17" s="197"/>
      <c r="H17" s="197"/>
    </row>
    <row r="18" ht="169.9" customHeight="1" spans="1:8">
      <c r="A18" s="197"/>
      <c r="B18" s="197"/>
      <c r="C18" s="197"/>
      <c r="D18" s="197"/>
      <c r="E18" s="197"/>
      <c r="F18" s="197"/>
      <c r="G18" s="197"/>
      <c r="H18" s="197"/>
    </row>
    <row r="19" spans="1:8">
      <c r="A19" s="4"/>
      <c r="B19" s="4"/>
      <c r="C19" s="4"/>
      <c r="D19" s="4"/>
      <c r="E19" s="4"/>
      <c r="F19" s="4"/>
      <c r="G19" s="4"/>
      <c r="H19" s="4"/>
    </row>
    <row r="20" ht="22.9" customHeight="1" spans="1:8">
      <c r="A20" s="4"/>
      <c r="B20" s="158" t="s">
        <v>175</v>
      </c>
      <c r="C20" s="158"/>
      <c r="D20" s="138" t="s">
        <v>166</v>
      </c>
      <c r="E20" s="4"/>
      <c r="F20" s="4"/>
      <c r="G20" s="4"/>
      <c r="H20" s="4"/>
    </row>
    <row r="21" ht="28.15" customHeight="1" spans="1:8">
      <c r="A21" s="4"/>
      <c r="B21" s="4"/>
      <c r="C21" s="4"/>
      <c r="D21" s="198" t="s">
        <v>176</v>
      </c>
      <c r="E21" s="138" t="s">
        <v>177</v>
      </c>
      <c r="F21" s="138" t="s">
        <v>178</v>
      </c>
      <c r="G21" s="4"/>
      <c r="H21" s="4"/>
    </row>
    <row r="22" ht="25.15" customHeight="1" spans="1:8">
      <c r="A22" s="4"/>
      <c r="B22" s="4"/>
      <c r="C22" s="4"/>
      <c r="D22" s="139">
        <v>1</v>
      </c>
      <c r="E22" s="158" t="s">
        <v>179</v>
      </c>
      <c r="F22" s="140">
        <v>24.3</v>
      </c>
      <c r="G22" s="4"/>
      <c r="H22" s="4"/>
    </row>
    <row r="23" ht="20.45" customHeight="1" spans="1:8">
      <c r="A23" s="4"/>
      <c r="B23" s="4"/>
      <c r="C23" s="4"/>
      <c r="D23" s="139">
        <v>2</v>
      </c>
      <c r="E23" s="158" t="s">
        <v>180</v>
      </c>
      <c r="F23" s="140">
        <v>28.2</v>
      </c>
      <c r="G23" s="4"/>
      <c r="H23" s="4"/>
    </row>
    <row r="24" ht="24.6" customHeight="1" spans="1:8">
      <c r="A24" s="4"/>
      <c r="B24" s="4"/>
      <c r="C24" s="4"/>
      <c r="D24" s="139">
        <v>3</v>
      </c>
      <c r="E24" s="158" t="s">
        <v>181</v>
      </c>
      <c r="F24" s="140">
        <v>55</v>
      </c>
      <c r="G24" s="4"/>
      <c r="H24" s="4"/>
    </row>
    <row r="25" ht="25.9" customHeight="1" spans="1:8">
      <c r="A25" s="4"/>
      <c r="B25" s="4"/>
      <c r="C25" s="4"/>
      <c r="D25" s="139">
        <v>4</v>
      </c>
      <c r="E25" s="158" t="s">
        <v>182</v>
      </c>
      <c r="F25" s="140">
        <v>77.3</v>
      </c>
      <c r="G25" s="4"/>
      <c r="H25" s="4"/>
    </row>
    <row r="26" ht="29.45" customHeight="1" spans="1:8">
      <c r="A26" s="4"/>
      <c r="B26" s="4"/>
      <c r="C26" s="4"/>
      <c r="D26" s="139">
        <v>5</v>
      </c>
      <c r="E26" s="158" t="s">
        <v>183</v>
      </c>
      <c r="F26" s="140">
        <v>106.7</v>
      </c>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4"/>
    </row>
    <row r="33" spans="1:8">
      <c r="A33" s="4"/>
      <c r="B33" s="4"/>
      <c r="C33" s="4"/>
      <c r="D33" s="4"/>
      <c r="E33" s="4"/>
      <c r="F33" s="4"/>
      <c r="G33" s="4"/>
      <c r="H33" s="4"/>
    </row>
    <row r="34" spans="1:8">
      <c r="A34" s="4"/>
      <c r="B34" s="4"/>
      <c r="C34" s="4"/>
      <c r="D34" s="4"/>
      <c r="E34" s="4"/>
      <c r="F34" s="4"/>
      <c r="G34" s="4"/>
      <c r="H34" s="4"/>
    </row>
    <row r="35" spans="1:8">
      <c r="A35" s="4"/>
      <c r="B35" s="4"/>
      <c r="C35" s="4"/>
      <c r="D35" s="4"/>
      <c r="E35" s="4"/>
      <c r="F35" s="4"/>
      <c r="G35" s="4"/>
      <c r="H35" s="4"/>
    </row>
    <row r="36" spans="1:8">
      <c r="A36" s="4"/>
      <c r="B36" s="4"/>
      <c r="C36" s="4"/>
      <c r="D36" s="4"/>
      <c r="E36" s="4"/>
      <c r="F36" s="4"/>
      <c r="G36" s="4"/>
      <c r="H36" s="4"/>
    </row>
    <row r="37" spans="1:8">
      <c r="A37" s="4"/>
      <c r="B37" s="4"/>
      <c r="C37" s="4"/>
      <c r="D37" s="4"/>
      <c r="E37" s="4"/>
      <c r="F37" s="4"/>
      <c r="G37" s="4"/>
      <c r="H37" s="4"/>
    </row>
    <row r="38" spans="1:8">
      <c r="A38" s="4"/>
      <c r="B38" s="4"/>
      <c r="C38" s="4"/>
      <c r="D38" s="4"/>
      <c r="E38" s="4"/>
      <c r="F38" s="4"/>
      <c r="G38" s="4"/>
      <c r="H38" s="4"/>
    </row>
    <row r="39" ht="34.15" customHeight="1" spans="1:8">
      <c r="A39" s="4"/>
      <c r="B39" s="4"/>
      <c r="C39" s="4"/>
      <c r="D39" s="4"/>
      <c r="E39" s="4"/>
      <c r="F39" s="4"/>
      <c r="G39" s="4"/>
      <c r="H39" s="4"/>
    </row>
    <row r="40" ht="67.15" customHeight="1" spans="1:8">
      <c r="A40" s="199" t="s">
        <v>184</v>
      </c>
      <c r="B40" s="124">
        <f>F26</f>
        <v>106.7</v>
      </c>
      <c r="C40" s="199" t="s">
        <v>185</v>
      </c>
      <c r="D40" s="200">
        <f>B40/'MILScientific Injection Molding'!G19</f>
        <v>0.609714285714286</v>
      </c>
      <c r="F40" s="4"/>
      <c r="G40" s="4"/>
      <c r="H40" s="4"/>
    </row>
    <row r="41" ht="33.6" customHeight="1" spans="1:8">
      <c r="A41" s="201" t="s">
        <v>186</v>
      </c>
      <c r="B41" s="126"/>
      <c r="C41" s="126"/>
      <c r="D41" s="126"/>
      <c r="E41" s="126"/>
      <c r="F41" s="126"/>
      <c r="G41" s="126"/>
      <c r="H41" s="126"/>
    </row>
    <row r="42" ht="43.15" customHeight="1" spans="1:8">
      <c r="A42" s="126"/>
      <c r="B42" s="126"/>
      <c r="C42" s="126"/>
      <c r="D42" s="126"/>
      <c r="E42" s="126"/>
      <c r="F42" s="126"/>
      <c r="G42" s="126"/>
      <c r="H42" s="126"/>
    </row>
    <row r="43" ht="15.6" customHeight="1" spans="1:8">
      <c r="A43" s="126"/>
      <c r="B43" s="126"/>
      <c r="C43" s="126"/>
      <c r="D43" s="126"/>
      <c r="E43" s="126"/>
      <c r="F43" s="126"/>
      <c r="G43" s="126"/>
      <c r="H43" s="126"/>
    </row>
  </sheetData>
  <mergeCells count="5">
    <mergeCell ref="A1:H1"/>
    <mergeCell ref="A2:H2"/>
    <mergeCell ref="B20:C20"/>
    <mergeCell ref="A3:H18"/>
    <mergeCell ref="A41:H43"/>
  </mergeCells>
  <dataValidations count="2">
    <dataValidation type="list" allowBlank="1" showInputMessage="1" showErrorMessage="1" sqref="D20">
      <formula1>"Mpa, Bar,Psi"</formula1>
    </dataValidation>
    <dataValidation type="list" allowBlank="1" showInputMessage="1" showErrorMessage="1" sqref="G40">
      <formula1>"OK,NG"</formula1>
    </dataValidation>
  </dataValidations>
  <pageMargins left="0.7" right="0.7" top="0.75" bottom="0.75" header="0.3" footer="0.3"/>
  <pageSetup paperSize="9" scale="72"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4"/>
  <sheetViews>
    <sheetView view="pageBreakPreview" zoomScale="130" zoomScaleNormal="100" topLeftCell="A35" workbookViewId="0">
      <selection activeCell="J37" sqref="J37:J40"/>
    </sheetView>
  </sheetViews>
  <sheetFormatPr defaultColWidth="9.625" defaultRowHeight="16.8"/>
  <cols>
    <col min="1" max="1" width="13.25" customWidth="1"/>
    <col min="2" max="2" width="13" customWidth="1"/>
    <col min="3" max="3" width="7" customWidth="1"/>
    <col min="4" max="4" width="7.125" customWidth="1"/>
    <col min="5" max="5" width="9.625" customWidth="1"/>
    <col min="6" max="6" width="9.5" customWidth="1"/>
    <col min="7" max="7" width="10.375" customWidth="1"/>
    <col min="8" max="8" width="10.5" customWidth="1"/>
    <col min="9" max="9" width="4.5" customWidth="1"/>
    <col min="10" max="10" width="12" customWidth="1"/>
    <col min="11" max="11" width="12.625" customWidth="1"/>
    <col min="12" max="12" width="7.875" customWidth="1"/>
    <col min="13" max="13" width="7.75" customWidth="1"/>
    <col min="14" max="14" width="8.625" customWidth="1"/>
    <col min="15" max="15" width="12.125" customWidth="1"/>
  </cols>
  <sheetData>
    <row r="1" ht="25.15" customHeight="1" spans="1:15">
      <c r="A1" s="1" t="s">
        <v>187</v>
      </c>
      <c r="B1" s="1"/>
      <c r="C1" s="1"/>
      <c r="D1" s="1"/>
      <c r="E1" s="1"/>
      <c r="F1" s="1"/>
      <c r="G1" s="1"/>
      <c r="H1" s="1"/>
      <c r="I1" s="1"/>
      <c r="J1" s="1"/>
      <c r="K1" s="1"/>
      <c r="L1" s="1"/>
      <c r="M1" s="1"/>
      <c r="N1" s="1"/>
      <c r="O1" s="1"/>
    </row>
    <row r="2" ht="4.9" customHeight="1" spans="1:15">
      <c r="A2" s="2"/>
      <c r="B2" s="2"/>
      <c r="C2" s="2"/>
      <c r="D2" s="2"/>
      <c r="E2" s="2"/>
      <c r="F2" s="2"/>
      <c r="G2" s="2"/>
      <c r="H2" s="2"/>
      <c r="I2" s="2"/>
      <c r="J2" s="2"/>
      <c r="K2" s="2"/>
      <c r="L2" s="2"/>
      <c r="M2" s="2"/>
      <c r="N2" s="2"/>
      <c r="O2" s="2"/>
    </row>
    <row r="3" ht="21" customHeight="1" spans="1:15">
      <c r="A3" s="146" t="s">
        <v>188</v>
      </c>
      <c r="B3" s="146"/>
      <c r="C3" s="146"/>
      <c r="D3" s="146"/>
      <c r="E3" s="146"/>
      <c r="F3" s="146"/>
      <c r="G3" s="146"/>
      <c r="H3" s="146"/>
      <c r="I3" s="146"/>
      <c r="J3" s="146"/>
      <c r="K3" s="146"/>
      <c r="L3" s="146"/>
      <c r="M3" s="146"/>
      <c r="N3" s="146"/>
      <c r="O3" s="146"/>
    </row>
    <row r="4" ht="18.6" customHeight="1" spans="1:15">
      <c r="A4" s="147" t="s">
        <v>189</v>
      </c>
      <c r="B4" s="148"/>
      <c r="C4" s="148"/>
      <c r="D4" s="148"/>
      <c r="E4" s="148"/>
      <c r="F4" s="148"/>
      <c r="G4" s="148"/>
      <c r="H4" s="148"/>
      <c r="I4" s="148"/>
      <c r="J4" s="148"/>
      <c r="K4" s="148"/>
      <c r="L4" s="148"/>
      <c r="M4" s="148"/>
      <c r="N4" s="148"/>
      <c r="O4" s="148"/>
    </row>
    <row r="5" ht="14.45" customHeight="1" spans="1:15">
      <c r="A5" s="148"/>
      <c r="B5" s="148"/>
      <c r="C5" s="148"/>
      <c r="D5" s="148"/>
      <c r="E5" s="148"/>
      <c r="F5" s="148"/>
      <c r="G5" s="148"/>
      <c r="H5" s="148"/>
      <c r="I5" s="148"/>
      <c r="J5" s="148"/>
      <c r="K5" s="148"/>
      <c r="L5" s="148"/>
      <c r="M5" s="148"/>
      <c r="N5" s="148"/>
      <c r="O5" s="148"/>
    </row>
    <row r="6" ht="27" customHeight="1" spans="1:15">
      <c r="A6" s="148"/>
      <c r="B6" s="148"/>
      <c r="C6" s="148"/>
      <c r="D6" s="148"/>
      <c r="E6" s="148"/>
      <c r="F6" s="148"/>
      <c r="G6" s="148"/>
      <c r="H6" s="148"/>
      <c r="I6" s="148"/>
      <c r="J6" s="148"/>
      <c r="K6" s="148"/>
      <c r="L6" s="148"/>
      <c r="M6" s="148"/>
      <c r="N6" s="148"/>
      <c r="O6" s="148"/>
    </row>
    <row r="7" ht="14.45" customHeight="1" spans="1:15">
      <c r="A7" s="148"/>
      <c r="B7" s="148"/>
      <c r="C7" s="148"/>
      <c r="D7" s="148"/>
      <c r="E7" s="148"/>
      <c r="F7" s="148"/>
      <c r="G7" s="148"/>
      <c r="H7" s="148"/>
      <c r="I7" s="148"/>
      <c r="J7" s="148"/>
      <c r="K7" s="148"/>
      <c r="L7" s="148"/>
      <c r="M7" s="148"/>
      <c r="N7" s="148"/>
      <c r="O7" s="148"/>
    </row>
    <row r="8" ht="20.45" customHeight="1" spans="1:15">
      <c r="A8" s="148"/>
      <c r="B8" s="148"/>
      <c r="C8" s="148"/>
      <c r="D8" s="148"/>
      <c r="E8" s="148"/>
      <c r="F8" s="148"/>
      <c r="G8" s="148"/>
      <c r="H8" s="148"/>
      <c r="I8" s="148"/>
      <c r="J8" s="148"/>
      <c r="K8" s="148"/>
      <c r="L8" s="148"/>
      <c r="M8" s="148"/>
      <c r="N8" s="148"/>
      <c r="O8" s="148"/>
    </row>
    <row r="9" ht="16.9" customHeight="1" spans="1:15">
      <c r="A9" s="148"/>
      <c r="B9" s="148"/>
      <c r="C9" s="148"/>
      <c r="D9" s="148"/>
      <c r="E9" s="148"/>
      <c r="F9" s="148"/>
      <c r="G9" s="148"/>
      <c r="H9" s="148"/>
      <c r="I9" s="148"/>
      <c r="J9" s="148"/>
      <c r="K9" s="148"/>
      <c r="L9" s="148"/>
      <c r="M9" s="148"/>
      <c r="N9" s="148"/>
      <c r="O9" s="148"/>
    </row>
    <row r="10" ht="123.6" customHeight="1" spans="1:15">
      <c r="A10" s="148"/>
      <c r="B10" s="148"/>
      <c r="C10" s="148"/>
      <c r="D10" s="148"/>
      <c r="E10" s="148"/>
      <c r="F10" s="148"/>
      <c r="G10" s="148"/>
      <c r="H10" s="148"/>
      <c r="I10" s="148"/>
      <c r="J10" s="148"/>
      <c r="K10" s="148"/>
      <c r="L10" s="148"/>
      <c r="M10" s="148"/>
      <c r="N10" s="148"/>
      <c r="O10" s="148"/>
    </row>
    <row r="11" ht="27.6" customHeight="1" spans="1:15">
      <c r="A11" s="149" t="s">
        <v>190</v>
      </c>
      <c r="B11" s="150"/>
      <c r="C11" s="150"/>
      <c r="D11" s="150"/>
      <c r="E11" s="150"/>
      <c r="F11" s="151"/>
      <c r="G11" s="4"/>
      <c r="H11" s="4"/>
      <c r="I11" s="152"/>
      <c r="J11" s="149" t="s">
        <v>191</v>
      </c>
      <c r="K11" s="153"/>
      <c r="L11" s="153"/>
      <c r="M11" s="153"/>
      <c r="N11" s="153"/>
      <c r="O11" s="154"/>
    </row>
    <row r="12" ht="41.45" customHeight="1" spans="1:15">
      <c r="A12" s="127" t="s">
        <v>192</v>
      </c>
      <c r="B12" s="127" t="s">
        <v>193</v>
      </c>
      <c r="C12" s="155" t="s">
        <v>194</v>
      </c>
      <c r="D12" s="155" t="s">
        <v>195</v>
      </c>
      <c r="E12" s="155" t="s">
        <v>196</v>
      </c>
      <c r="F12" s="155" t="s">
        <v>197</v>
      </c>
      <c r="G12" s="4"/>
      <c r="H12" s="4"/>
      <c r="I12" s="4"/>
      <c r="J12" s="138" t="s">
        <v>198</v>
      </c>
      <c r="K12" s="127" t="s">
        <v>193</v>
      </c>
      <c r="L12" s="156" t="s">
        <v>194</v>
      </c>
      <c r="M12" s="156" t="s">
        <v>195</v>
      </c>
      <c r="N12" s="156" t="s">
        <v>196</v>
      </c>
      <c r="O12" s="156" t="s">
        <v>197</v>
      </c>
    </row>
    <row r="13" ht="25.9" customHeight="1" spans="1:15">
      <c r="A13" s="129">
        <v>1</v>
      </c>
      <c r="B13" s="157"/>
      <c r="C13" s="155">
        <v>25</v>
      </c>
      <c r="D13" s="155">
        <v>25</v>
      </c>
      <c r="E13" s="155">
        <v>24.5</v>
      </c>
      <c r="F13" s="155">
        <f>AVERAGE(C13:E13)</f>
        <v>24.8333333333333</v>
      </c>
      <c r="G13" s="4"/>
      <c r="H13" s="4"/>
      <c r="I13" s="4"/>
      <c r="J13" s="158">
        <v>1</v>
      </c>
      <c r="K13" s="157"/>
      <c r="L13" s="156">
        <v>47.5</v>
      </c>
      <c r="M13" s="156">
        <v>47.2</v>
      </c>
      <c r="N13" s="156">
        <v>47.5</v>
      </c>
      <c r="O13" s="156">
        <f>AVERAGE(L13:N13)</f>
        <v>47.4</v>
      </c>
    </row>
    <row r="14" ht="21" customHeight="1" spans="1:15">
      <c r="A14" s="129">
        <v>2</v>
      </c>
      <c r="B14" s="159"/>
      <c r="C14" s="155">
        <v>25.3</v>
      </c>
      <c r="D14" s="155">
        <v>25.2</v>
      </c>
      <c r="E14" s="155">
        <v>25.1</v>
      </c>
      <c r="F14" s="155">
        <f t="shared" ref="F14:F20" si="0">AVERAGE(C14:E14)</f>
        <v>25.2</v>
      </c>
      <c r="G14" s="4"/>
      <c r="H14" s="4"/>
      <c r="I14" s="4"/>
      <c r="J14" s="158">
        <v>2</v>
      </c>
      <c r="K14" s="159"/>
      <c r="L14" s="156">
        <v>42</v>
      </c>
      <c r="M14" s="156">
        <v>42</v>
      </c>
      <c r="N14" s="156">
        <v>42</v>
      </c>
      <c r="O14" s="156">
        <f t="shared" ref="O14:O20" si="1">AVERAGE(L14:N14)</f>
        <v>42</v>
      </c>
    </row>
    <row r="15" ht="24" customHeight="1" spans="1:15">
      <c r="A15" s="129">
        <v>3</v>
      </c>
      <c r="B15" s="159"/>
      <c r="C15" s="155">
        <v>25.8</v>
      </c>
      <c r="D15" s="155">
        <v>26</v>
      </c>
      <c r="E15" s="155">
        <v>25.5</v>
      </c>
      <c r="F15" s="155">
        <f t="shared" si="0"/>
        <v>25.7666666666667</v>
      </c>
      <c r="G15" s="4"/>
      <c r="H15" s="4"/>
      <c r="I15" s="4"/>
      <c r="J15" s="158">
        <v>3</v>
      </c>
      <c r="K15" s="159"/>
      <c r="L15" s="156">
        <v>47.5</v>
      </c>
      <c r="M15" s="156">
        <v>47.2</v>
      </c>
      <c r="N15" s="156">
        <v>47.5</v>
      </c>
      <c r="O15" s="156">
        <f t="shared" si="1"/>
        <v>47.4</v>
      </c>
    </row>
    <row r="16" ht="19.15" customHeight="1" spans="1:15">
      <c r="A16" s="129">
        <v>4</v>
      </c>
      <c r="B16" s="159"/>
      <c r="C16" s="155">
        <v>24.9</v>
      </c>
      <c r="D16" s="155">
        <v>24.5</v>
      </c>
      <c r="E16" s="155">
        <v>24.8</v>
      </c>
      <c r="F16" s="155">
        <f t="shared" si="0"/>
        <v>24.7333333333333</v>
      </c>
      <c r="G16" s="4"/>
      <c r="H16" s="4"/>
      <c r="I16" s="4"/>
      <c r="J16" s="158">
        <v>4</v>
      </c>
      <c r="K16" s="159"/>
      <c r="L16" s="156" t="s">
        <v>53</v>
      </c>
      <c r="M16" s="156" t="s">
        <v>53</v>
      </c>
      <c r="N16" s="156" t="s">
        <v>53</v>
      </c>
      <c r="O16" s="156" t="e">
        <f t="shared" si="1"/>
        <v>#DIV/0!</v>
      </c>
    </row>
    <row r="17" ht="22.9" customHeight="1" spans="1:15">
      <c r="A17" s="129">
        <v>5</v>
      </c>
      <c r="B17" s="159"/>
      <c r="C17" s="155">
        <v>25.3</v>
      </c>
      <c r="D17" s="155">
        <v>25.2</v>
      </c>
      <c r="E17" s="155">
        <v>25.5</v>
      </c>
      <c r="F17" s="155">
        <f t="shared" si="0"/>
        <v>25.3333333333333</v>
      </c>
      <c r="G17" s="4"/>
      <c r="H17" s="4"/>
      <c r="I17" s="4"/>
      <c r="J17" s="158">
        <v>5</v>
      </c>
      <c r="K17" s="159"/>
      <c r="L17" s="156" t="s">
        <v>53</v>
      </c>
      <c r="M17" s="156" t="s">
        <v>53</v>
      </c>
      <c r="N17" s="156" t="s">
        <v>53</v>
      </c>
      <c r="O17" s="156" t="e">
        <f t="shared" si="1"/>
        <v>#DIV/0!</v>
      </c>
    </row>
    <row r="18" ht="18" customHeight="1" spans="1:15">
      <c r="A18" s="129">
        <v>6</v>
      </c>
      <c r="B18" s="159"/>
      <c r="C18" s="155">
        <v>24.6</v>
      </c>
      <c r="D18" s="155">
        <v>24.8</v>
      </c>
      <c r="E18" s="155">
        <v>25</v>
      </c>
      <c r="F18" s="155">
        <f t="shared" si="0"/>
        <v>24.8</v>
      </c>
      <c r="G18" s="4"/>
      <c r="H18" s="4"/>
      <c r="I18" s="4"/>
      <c r="J18" s="158">
        <v>6</v>
      </c>
      <c r="K18" s="159"/>
      <c r="L18" s="156" t="s">
        <v>53</v>
      </c>
      <c r="M18" s="156" t="s">
        <v>53</v>
      </c>
      <c r="N18" s="156" t="s">
        <v>53</v>
      </c>
      <c r="O18" s="156" t="e">
        <f t="shared" si="1"/>
        <v>#DIV/0!</v>
      </c>
    </row>
    <row r="19" ht="21.6" customHeight="1" spans="1:15">
      <c r="A19" s="129">
        <v>7</v>
      </c>
      <c r="B19" s="159"/>
      <c r="C19" s="155">
        <v>24.9</v>
      </c>
      <c r="D19" s="155">
        <v>24.5</v>
      </c>
      <c r="E19" s="155">
        <v>24.6</v>
      </c>
      <c r="F19" s="155">
        <f t="shared" si="0"/>
        <v>24.6666666666667</v>
      </c>
      <c r="G19" s="4"/>
      <c r="H19" s="4"/>
      <c r="I19" s="4"/>
      <c r="J19" s="158">
        <v>7</v>
      </c>
      <c r="K19" s="159"/>
      <c r="L19" s="156" t="s">
        <v>53</v>
      </c>
      <c r="M19" s="156" t="s">
        <v>53</v>
      </c>
      <c r="N19" s="156" t="s">
        <v>53</v>
      </c>
      <c r="O19" s="156" t="e">
        <f t="shared" si="1"/>
        <v>#DIV/0!</v>
      </c>
    </row>
    <row r="20" ht="21.6" customHeight="1" spans="1:15">
      <c r="A20" s="129">
        <v>8</v>
      </c>
      <c r="B20" s="160"/>
      <c r="C20" s="155">
        <v>25.5</v>
      </c>
      <c r="D20" s="155">
        <v>25.2</v>
      </c>
      <c r="E20" s="155">
        <v>25.4</v>
      </c>
      <c r="F20" s="155">
        <f t="shared" si="0"/>
        <v>25.3666666666667</v>
      </c>
      <c r="G20" s="4"/>
      <c r="H20" s="4"/>
      <c r="I20" s="4"/>
      <c r="J20" s="158">
        <v>8</v>
      </c>
      <c r="K20" s="160"/>
      <c r="L20" s="156" t="s">
        <v>53</v>
      </c>
      <c r="M20" s="156" t="s">
        <v>53</v>
      </c>
      <c r="N20" s="156" t="s">
        <v>53</v>
      </c>
      <c r="O20" s="156" t="e">
        <f t="shared" si="1"/>
        <v>#DIV/0!</v>
      </c>
    </row>
    <row r="21" ht="26.45" customHeight="1" spans="1:15">
      <c r="A21" s="155" t="s">
        <v>199</v>
      </c>
      <c r="B21" s="155">
        <f>MAX(F13:F20)</f>
        <v>25.7666666666667</v>
      </c>
      <c r="C21" s="161"/>
      <c r="D21" s="161"/>
      <c r="E21" s="161"/>
      <c r="F21" s="4"/>
      <c r="G21" s="4"/>
      <c r="H21" s="4"/>
      <c r="I21" s="4"/>
      <c r="J21" s="156" t="s">
        <v>199</v>
      </c>
      <c r="K21" s="156" t="e">
        <f>MAX(O13:O20)</f>
        <v>#DIV/0!</v>
      </c>
      <c r="L21" s="4"/>
      <c r="M21" s="4"/>
      <c r="N21" s="4"/>
      <c r="O21" s="4"/>
    </row>
    <row r="22" ht="35.45" customHeight="1" spans="1:15">
      <c r="A22" s="155" t="s">
        <v>200</v>
      </c>
      <c r="B22" s="155">
        <f>MIN(F13:F20)</f>
        <v>24.6666666666667</v>
      </c>
      <c r="C22" s="161"/>
      <c r="D22" s="161"/>
      <c r="E22" s="161"/>
      <c r="F22" s="4"/>
      <c r="G22" s="4"/>
      <c r="H22" s="4"/>
      <c r="I22" s="4"/>
      <c r="J22" s="156" t="s">
        <v>201</v>
      </c>
      <c r="K22" s="156" t="e">
        <f>MIN(O13:O20)</f>
        <v>#DIV/0!</v>
      </c>
      <c r="L22" s="4"/>
      <c r="M22" s="4"/>
      <c r="N22" s="4"/>
      <c r="O22" s="4"/>
    </row>
    <row r="23" ht="42" customHeight="1" spans="1:15">
      <c r="A23" s="162" t="s">
        <v>202</v>
      </c>
      <c r="B23" s="163">
        <f>(B21-B22)/B21</f>
        <v>0.0426908150064682</v>
      </c>
      <c r="C23" s="161"/>
      <c r="D23" s="161"/>
      <c r="E23" s="161"/>
      <c r="F23" s="4"/>
      <c r="G23" s="4"/>
      <c r="I23" s="4"/>
      <c r="J23" s="164" t="s">
        <v>202</v>
      </c>
      <c r="K23" s="165" t="e">
        <f>(K21-K22)/K21</f>
        <v>#DIV/0!</v>
      </c>
      <c r="L23" s="4"/>
      <c r="M23" s="4"/>
      <c r="N23" s="4"/>
      <c r="O23" s="4"/>
    </row>
    <row r="24" ht="27" customHeight="1" spans="1:15">
      <c r="A24" s="148" t="s">
        <v>203</v>
      </c>
      <c r="B24" s="166"/>
      <c r="C24" s="166"/>
      <c r="D24" s="166"/>
      <c r="E24" s="166"/>
      <c r="F24" s="166"/>
      <c r="G24" s="166"/>
      <c r="H24" s="166"/>
      <c r="I24" s="166"/>
      <c r="J24" s="166"/>
      <c r="K24" s="166"/>
      <c r="L24" s="166"/>
      <c r="M24" s="166"/>
      <c r="N24" s="166"/>
      <c r="O24" s="166"/>
    </row>
    <row r="25" ht="16.9" customHeight="1" spans="1:15">
      <c r="A25" s="167" t="s">
        <v>204</v>
      </c>
      <c r="B25" s="167"/>
      <c r="C25" s="167"/>
      <c r="D25" s="167"/>
      <c r="E25" s="167"/>
      <c r="F25" s="167"/>
      <c r="G25" s="167"/>
      <c r="H25" s="167"/>
      <c r="I25" s="167"/>
      <c r="J25" s="4"/>
      <c r="K25" s="4"/>
      <c r="L25" s="4"/>
      <c r="M25" s="4"/>
      <c r="N25" s="4"/>
      <c r="O25" s="4"/>
    </row>
    <row r="26" ht="24.6" customHeight="1" spans="1:15">
      <c r="A26" s="147" t="s">
        <v>205</v>
      </c>
      <c r="B26" s="148"/>
      <c r="C26" s="148"/>
      <c r="D26" s="148"/>
      <c r="E26" s="148"/>
      <c r="F26" s="148"/>
      <c r="G26" s="148"/>
      <c r="H26" s="148"/>
      <c r="I26" s="148"/>
      <c r="J26" s="148"/>
      <c r="K26" s="148"/>
      <c r="L26" s="148"/>
      <c r="M26" s="148"/>
      <c r="N26" s="168"/>
      <c r="O26" s="156" t="s">
        <v>206</v>
      </c>
    </row>
    <row r="27" ht="19.15" customHeight="1" spans="1:15">
      <c r="A27" s="148"/>
      <c r="B27" s="148"/>
      <c r="C27" s="148"/>
      <c r="D27" s="148"/>
      <c r="E27" s="148"/>
      <c r="F27" s="148"/>
      <c r="G27" s="148"/>
      <c r="H27" s="148"/>
      <c r="I27" s="148"/>
      <c r="J27" s="148"/>
      <c r="K27" s="148"/>
      <c r="L27" s="148"/>
      <c r="M27" s="148"/>
      <c r="N27" s="168" t="s">
        <v>207</v>
      </c>
      <c r="O27" s="156">
        <f>'MILScientific Injection Molding'!F6</f>
        <v>205</v>
      </c>
    </row>
    <row r="28" ht="21" customHeight="1" spans="1:15">
      <c r="A28" s="148"/>
      <c r="B28" s="148"/>
      <c r="C28" s="148"/>
      <c r="D28" s="148"/>
      <c r="E28" s="148"/>
      <c r="F28" s="148"/>
      <c r="G28" s="148"/>
      <c r="H28" s="148"/>
      <c r="I28" s="148"/>
      <c r="J28" s="148"/>
      <c r="K28" s="148"/>
      <c r="L28" s="148"/>
      <c r="M28" s="148"/>
      <c r="N28" s="168" t="s">
        <v>208</v>
      </c>
      <c r="O28" s="156">
        <f>'MILScientific Injection Molding'!F7</f>
        <v>196</v>
      </c>
    </row>
    <row r="29" ht="21.6" customHeight="1" spans="1:15">
      <c r="A29" s="148"/>
      <c r="B29" s="148"/>
      <c r="C29" s="148"/>
      <c r="D29" s="148"/>
      <c r="E29" s="148"/>
      <c r="F29" s="148"/>
      <c r="G29" s="148"/>
      <c r="H29" s="148"/>
      <c r="I29" s="148"/>
      <c r="J29" s="148"/>
      <c r="K29" s="148"/>
      <c r="L29" s="148"/>
      <c r="M29" s="148"/>
      <c r="N29" s="168" t="s">
        <v>209</v>
      </c>
      <c r="O29" s="156" t="s">
        <v>53</v>
      </c>
    </row>
    <row r="30" ht="21.6" customHeight="1" spans="1:15">
      <c r="A30" s="148"/>
      <c r="B30" s="148"/>
      <c r="C30" s="148"/>
      <c r="D30" s="148"/>
      <c r="E30" s="148"/>
      <c r="F30" s="148"/>
      <c r="G30" s="148"/>
      <c r="H30" s="148"/>
      <c r="I30" s="148"/>
      <c r="J30" s="148"/>
      <c r="K30" s="148"/>
      <c r="L30" s="148"/>
      <c r="M30" s="148"/>
      <c r="N30" s="168" t="s">
        <v>210</v>
      </c>
      <c r="O30" s="156" t="s">
        <v>53</v>
      </c>
    </row>
    <row r="31" ht="28.15" customHeight="1" spans="1:15">
      <c r="A31" s="148"/>
      <c r="B31" s="148"/>
      <c r="C31" s="148"/>
      <c r="D31" s="148"/>
      <c r="E31" s="148"/>
      <c r="F31" s="148"/>
      <c r="G31" s="148"/>
      <c r="H31" s="148"/>
      <c r="I31" s="148"/>
      <c r="J31" s="148"/>
      <c r="K31" s="148"/>
      <c r="L31" s="148"/>
      <c r="M31" s="148"/>
      <c r="N31" s="169"/>
      <c r="O31" s="170"/>
    </row>
    <row r="32" ht="20.45" customHeight="1" spans="1:15">
      <c r="A32" s="148"/>
      <c r="B32" s="148"/>
      <c r="C32" s="148"/>
      <c r="D32" s="148"/>
      <c r="E32" s="148"/>
      <c r="F32" s="148"/>
      <c r="G32" s="148"/>
      <c r="H32" s="148"/>
      <c r="I32" s="148"/>
      <c r="J32" s="148"/>
      <c r="K32" s="148"/>
      <c r="L32" s="148"/>
      <c r="M32" s="148"/>
      <c r="N32" s="171"/>
      <c r="O32" s="172"/>
    </row>
    <row r="33" ht="21.6" customHeight="1" spans="1:15">
      <c r="A33" s="148"/>
      <c r="B33" s="148"/>
      <c r="C33" s="148"/>
      <c r="D33" s="148"/>
      <c r="E33" s="148"/>
      <c r="F33" s="148"/>
      <c r="G33" s="148"/>
      <c r="H33" s="148"/>
      <c r="I33" s="148"/>
      <c r="J33" s="148"/>
      <c r="K33" s="148"/>
      <c r="L33" s="148"/>
      <c r="M33" s="148"/>
      <c r="N33" s="171"/>
      <c r="O33" s="172"/>
    </row>
    <row r="34" ht="65.45" customHeight="1" spans="1:15">
      <c r="A34" s="148"/>
      <c r="B34" s="148"/>
      <c r="C34" s="148"/>
      <c r="D34" s="148"/>
      <c r="E34" s="148"/>
      <c r="F34" s="148"/>
      <c r="G34" s="148"/>
      <c r="H34" s="148"/>
      <c r="I34" s="148"/>
      <c r="J34" s="148"/>
      <c r="K34" s="148"/>
      <c r="L34" s="148"/>
      <c r="M34" s="148"/>
      <c r="N34" s="173"/>
      <c r="O34" s="174"/>
    </row>
    <row r="35" ht="35.45" customHeight="1" spans="1:15">
      <c r="A35" s="175" t="s">
        <v>190</v>
      </c>
      <c r="B35" s="175"/>
      <c r="C35" s="175"/>
      <c r="D35" s="175"/>
      <c r="E35" s="175"/>
      <c r="F35" s="175"/>
      <c r="G35" s="175"/>
      <c r="H35" s="176"/>
      <c r="I35" s="175" t="s">
        <v>191</v>
      </c>
      <c r="J35" s="177"/>
      <c r="K35" s="177"/>
      <c r="L35" s="177"/>
      <c r="M35" s="177"/>
      <c r="N35" s="177"/>
      <c r="O35" s="177"/>
    </row>
    <row r="36" ht="57.6" customHeight="1" spans="1:15">
      <c r="A36" s="178" t="s">
        <v>192</v>
      </c>
      <c r="B36" s="178" t="s">
        <v>193</v>
      </c>
      <c r="C36" s="178" t="s">
        <v>211</v>
      </c>
      <c r="D36" s="178" t="s">
        <v>211</v>
      </c>
      <c r="E36" s="178" t="s">
        <v>211</v>
      </c>
      <c r="F36" s="178" t="s">
        <v>212</v>
      </c>
      <c r="G36" s="178" t="s">
        <v>213</v>
      </c>
      <c r="H36" s="179"/>
      <c r="I36" s="178" t="s">
        <v>214</v>
      </c>
      <c r="J36" s="178" t="s">
        <v>193</v>
      </c>
      <c r="K36" s="178" t="s">
        <v>211</v>
      </c>
      <c r="L36" s="178" t="s">
        <v>211</v>
      </c>
      <c r="M36" s="178" t="s">
        <v>211</v>
      </c>
      <c r="N36" s="178" t="s">
        <v>215</v>
      </c>
      <c r="O36" s="178" t="s">
        <v>213</v>
      </c>
    </row>
    <row r="37" ht="27.6" customHeight="1" spans="1:15">
      <c r="A37" s="155" t="s">
        <v>216</v>
      </c>
      <c r="B37" s="162"/>
      <c r="C37" s="155">
        <v>111.2</v>
      </c>
      <c r="D37" s="155">
        <v>111.2</v>
      </c>
      <c r="E37" s="155">
        <v>111.3</v>
      </c>
      <c r="F37" s="180">
        <f>AVERAGE(C37:E37)</f>
        <v>111.233333333333</v>
      </c>
      <c r="G37" s="181">
        <f>F37/O27</f>
        <v>0.54260162601626</v>
      </c>
      <c r="H37" s="179"/>
      <c r="I37" s="155" t="s">
        <v>216</v>
      </c>
      <c r="J37" s="162"/>
      <c r="K37" s="155">
        <v>231.2</v>
      </c>
      <c r="L37" s="155">
        <v>231.4</v>
      </c>
      <c r="M37" s="155">
        <v>231.6</v>
      </c>
      <c r="N37" s="180">
        <f>AVERAGE(K37:M37)</f>
        <v>231.4</v>
      </c>
      <c r="O37" s="181">
        <f>N37/O27</f>
        <v>1.12878048780488</v>
      </c>
    </row>
    <row r="38" ht="23.45" customHeight="1" spans="1:15">
      <c r="A38" s="155" t="s">
        <v>217</v>
      </c>
      <c r="B38" s="182"/>
      <c r="C38" s="155">
        <v>94</v>
      </c>
      <c r="D38" s="155">
        <v>93.9</v>
      </c>
      <c r="E38" s="155">
        <v>94.1</v>
      </c>
      <c r="F38" s="180">
        <f t="shared" ref="F38:F40" si="2">AVERAGE(C38:E38)</f>
        <v>94</v>
      </c>
      <c r="G38" s="181">
        <f>F38/O28</f>
        <v>0.479591836734694</v>
      </c>
      <c r="H38" s="179"/>
      <c r="I38" s="155" t="s">
        <v>217</v>
      </c>
      <c r="J38" s="182"/>
      <c r="K38" s="155">
        <v>202</v>
      </c>
      <c r="L38" s="155">
        <v>202</v>
      </c>
      <c r="M38" s="155">
        <v>202</v>
      </c>
      <c r="N38" s="180">
        <f t="shared" ref="N38:N39" si="3">AVERAGE(K38:M38)</f>
        <v>202</v>
      </c>
      <c r="O38" s="181">
        <f t="shared" ref="O38" si="4">N38/O28</f>
        <v>1.03061224489796</v>
      </c>
    </row>
    <row r="39" ht="30" customHeight="1" spans="1:15">
      <c r="A39" s="155" t="s">
        <v>218</v>
      </c>
      <c r="B39" s="182"/>
      <c r="C39" s="155">
        <v>0</v>
      </c>
      <c r="D39" s="155">
        <v>0</v>
      </c>
      <c r="E39" s="155">
        <v>0</v>
      </c>
      <c r="F39" s="180">
        <f t="shared" si="2"/>
        <v>0</v>
      </c>
      <c r="G39" s="181" t="s">
        <v>53</v>
      </c>
      <c r="H39" s="183"/>
      <c r="I39" s="155" t="s">
        <v>218</v>
      </c>
      <c r="J39" s="182"/>
      <c r="K39" s="155">
        <v>0</v>
      </c>
      <c r="L39" s="155">
        <v>0</v>
      </c>
      <c r="M39" s="155">
        <v>0</v>
      </c>
      <c r="N39" s="180">
        <f t="shared" si="3"/>
        <v>0</v>
      </c>
      <c r="O39" s="181" t="s">
        <v>53</v>
      </c>
    </row>
    <row r="40" ht="24" customHeight="1" spans="1:15">
      <c r="A40" s="155" t="s">
        <v>219</v>
      </c>
      <c r="B40" s="184"/>
      <c r="C40" s="155">
        <v>0</v>
      </c>
      <c r="D40" s="155">
        <v>0</v>
      </c>
      <c r="E40" s="155">
        <v>0</v>
      </c>
      <c r="F40" s="180">
        <f t="shared" si="2"/>
        <v>0</v>
      </c>
      <c r="G40" s="181" t="s">
        <v>53</v>
      </c>
      <c r="H40" s="183"/>
      <c r="I40" s="155" t="s">
        <v>219</v>
      </c>
      <c r="J40" s="184"/>
      <c r="K40" s="155">
        <v>0</v>
      </c>
      <c r="L40" s="155">
        <v>0</v>
      </c>
      <c r="M40" s="155">
        <v>0</v>
      </c>
      <c r="N40" s="180">
        <v>0</v>
      </c>
      <c r="O40" s="181" t="s">
        <v>53</v>
      </c>
    </row>
    <row r="41" ht="28.9" customHeight="1" spans="1:15">
      <c r="A41" s="185" t="s">
        <v>220</v>
      </c>
      <c r="B41" s="186">
        <f>MAX(G37:G40)-MIN(G37:G40)</f>
        <v>0.0630097892815663</v>
      </c>
      <c r="C41" s="187"/>
      <c r="D41" s="188"/>
      <c r="E41" s="189"/>
      <c r="F41" s="189"/>
      <c r="G41" s="189"/>
      <c r="H41" s="189"/>
      <c r="I41" s="185" t="s">
        <v>220</v>
      </c>
      <c r="J41" s="186">
        <f>MAX(O37:O40)-MIN(O37:O40)</f>
        <v>0.0981682429069191</v>
      </c>
      <c r="K41" s="189"/>
      <c r="L41" s="189"/>
      <c r="M41" s="189"/>
      <c r="N41" s="189"/>
      <c r="O41" s="189"/>
    </row>
    <row r="42" ht="30" customHeight="1" spans="1:15">
      <c r="A42" s="190" t="s">
        <v>221</v>
      </c>
      <c r="B42" s="191"/>
      <c r="C42" s="191"/>
      <c r="D42" s="191"/>
      <c r="E42" s="191"/>
      <c r="F42" s="191"/>
      <c r="G42" s="191"/>
      <c r="H42" s="191"/>
      <c r="I42" s="191"/>
      <c r="J42" s="191"/>
      <c r="K42" s="191"/>
      <c r="L42" s="191"/>
      <c r="M42" s="191"/>
      <c r="N42" s="191"/>
      <c r="O42" s="191"/>
    </row>
    <row r="43" ht="25.15" customHeight="1" spans="1:15">
      <c r="A43" s="192"/>
      <c r="B43" s="193"/>
      <c r="C43" s="193"/>
      <c r="D43" s="193"/>
      <c r="E43" s="193"/>
      <c r="F43" s="193"/>
      <c r="G43" s="193"/>
      <c r="H43" s="193"/>
      <c r="I43" s="193"/>
      <c r="J43" s="194"/>
      <c r="K43" s="141" t="s">
        <v>222</v>
      </c>
      <c r="L43" s="141"/>
      <c r="M43" s="141"/>
      <c r="N43" s="141" t="s">
        <v>223</v>
      </c>
      <c r="O43" s="141"/>
    </row>
    <row r="44" ht="11.45" customHeight="1" spans="1:15">
      <c r="A44" s="4"/>
      <c r="B44" s="4"/>
      <c r="C44" s="4"/>
      <c r="D44" s="4"/>
      <c r="E44" s="4"/>
      <c r="F44" s="4"/>
      <c r="G44" s="4"/>
      <c r="H44" s="4"/>
    </row>
  </sheetData>
  <mergeCells count="20">
    <mergeCell ref="A1:O1"/>
    <mergeCell ref="A2:O2"/>
    <mergeCell ref="A3:O3"/>
    <mergeCell ref="A11:F11"/>
    <mergeCell ref="J11:O11"/>
    <mergeCell ref="A24:O24"/>
    <mergeCell ref="A25:I25"/>
    <mergeCell ref="A35:G35"/>
    <mergeCell ref="I35:O35"/>
    <mergeCell ref="A42:O42"/>
    <mergeCell ref="A43:J43"/>
    <mergeCell ref="K43:M43"/>
    <mergeCell ref="N43:O43"/>
    <mergeCell ref="B13:B20"/>
    <mergeCell ref="B37:B40"/>
    <mergeCell ref="J37:J40"/>
    <mergeCell ref="K13:K20"/>
    <mergeCell ref="A4:O10"/>
    <mergeCell ref="N31:O34"/>
    <mergeCell ref="A26:M34"/>
  </mergeCells>
  <dataValidations count="1">
    <dataValidation type="list" allowBlank="1" showInputMessage="1" showErrorMessage="1" sqref="N43 K44:L44">
      <formula1>"OK,NG"</formula1>
    </dataValidation>
  </dataValidations>
  <pageMargins left="0.7" right="0.7" top="0.75" bottom="0.75" header="0.3" footer="0.3"/>
  <pageSetup paperSize="9" scale="6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view="pageLayout" zoomScale="85" zoomScaleNormal="100" topLeftCell="A12" workbookViewId="0">
      <selection activeCell="D20" sqref="D20"/>
    </sheetView>
  </sheetViews>
  <sheetFormatPr defaultColWidth="9" defaultRowHeight="16.8"/>
  <cols>
    <col min="1" max="1" width="11.5" customWidth="1"/>
    <col min="2" max="2" width="17.125" customWidth="1"/>
    <col min="3" max="3" width="16.25" customWidth="1"/>
    <col min="4" max="4" width="20.625" customWidth="1"/>
    <col min="5" max="5" width="18.875" customWidth="1"/>
    <col min="6" max="8" width="9.625" customWidth="1"/>
    <col min="9" max="9" width="11" customWidth="1"/>
  </cols>
  <sheetData>
    <row r="1" ht="28.9" customHeight="1" spans="1:9">
      <c r="A1" s="1" t="s">
        <v>224</v>
      </c>
      <c r="B1" s="1"/>
      <c r="C1" s="1"/>
      <c r="D1" s="1"/>
      <c r="E1" s="1"/>
      <c r="F1" s="1"/>
      <c r="G1" s="1"/>
      <c r="H1" s="1"/>
      <c r="I1" s="1"/>
    </row>
    <row r="2" ht="5.45" customHeight="1" spans="1:9">
      <c r="A2" s="135"/>
      <c r="B2" s="135"/>
      <c r="C2" s="135"/>
      <c r="D2" s="135"/>
      <c r="E2" s="135"/>
      <c r="F2" s="135"/>
      <c r="G2" s="135"/>
      <c r="H2" s="135"/>
      <c r="I2" s="135"/>
    </row>
    <row r="3" spans="1:9">
      <c r="A3" s="121" t="s">
        <v>225</v>
      </c>
      <c r="B3" s="136"/>
      <c r="C3" s="136"/>
      <c r="D3" s="136"/>
      <c r="E3" s="136"/>
      <c r="F3" s="136"/>
      <c r="G3" s="136"/>
      <c r="H3" s="136"/>
      <c r="I3" s="136"/>
    </row>
    <row r="4" spans="1:9">
      <c r="A4" s="137"/>
      <c r="B4" s="137"/>
      <c r="C4" s="137"/>
      <c r="D4" s="137"/>
      <c r="E4" s="137"/>
      <c r="F4" s="137"/>
      <c r="G4" s="137"/>
      <c r="H4" s="137"/>
      <c r="I4" s="137"/>
    </row>
    <row r="5" spans="1:9">
      <c r="A5" s="137"/>
      <c r="B5" s="137"/>
      <c r="C5" s="137"/>
      <c r="D5" s="137"/>
      <c r="E5" s="137"/>
      <c r="F5" s="137"/>
      <c r="G5" s="137"/>
      <c r="H5" s="137"/>
      <c r="I5" s="137"/>
    </row>
    <row r="6" spans="1:9">
      <c r="A6" s="137"/>
      <c r="B6" s="137"/>
      <c r="C6" s="137"/>
      <c r="D6" s="137"/>
      <c r="E6" s="137"/>
      <c r="F6" s="137"/>
      <c r="G6" s="137"/>
      <c r="H6" s="137"/>
      <c r="I6" s="137"/>
    </row>
    <row r="7" ht="25.9" customHeight="1" spans="1:9">
      <c r="A7" s="137"/>
      <c r="B7" s="137"/>
      <c r="C7" s="137"/>
      <c r="D7" s="137"/>
      <c r="E7" s="137"/>
      <c r="F7" s="137"/>
      <c r="G7" s="137"/>
      <c r="H7" s="137"/>
      <c r="I7" s="137"/>
    </row>
    <row r="8" ht="31.9" customHeight="1" spans="1:9">
      <c r="A8" s="137"/>
      <c r="B8" s="137"/>
      <c r="C8" s="137"/>
      <c r="D8" s="137"/>
      <c r="E8" s="137"/>
      <c r="F8" s="137"/>
      <c r="G8" s="137"/>
      <c r="H8" s="137"/>
      <c r="I8" s="137"/>
    </row>
    <row r="9" ht="215.45" customHeight="1" spans="1:9">
      <c r="A9" s="142"/>
      <c r="B9" s="142"/>
      <c r="C9" s="142"/>
      <c r="D9" s="142"/>
      <c r="E9" s="142"/>
      <c r="F9" s="142"/>
      <c r="G9" s="142"/>
      <c r="H9" s="142"/>
      <c r="I9" s="142"/>
    </row>
    <row r="10" ht="31.15" customHeight="1" spans="1:9">
      <c r="A10" s="4"/>
      <c r="B10" s="4"/>
      <c r="C10" s="4"/>
      <c r="D10" s="4"/>
      <c r="E10" s="4"/>
      <c r="F10" s="4"/>
      <c r="G10" s="4"/>
      <c r="H10" s="4"/>
      <c r="I10" s="4"/>
    </row>
    <row r="11" ht="40.9" customHeight="1" spans="1:9">
      <c r="A11" s="4"/>
      <c r="B11" s="143" t="s">
        <v>226</v>
      </c>
      <c r="C11" s="143" t="s">
        <v>227</v>
      </c>
      <c r="D11" s="143" t="s">
        <v>228</v>
      </c>
      <c r="E11" s="143" t="s">
        <v>229</v>
      </c>
      <c r="F11" s="144" t="s">
        <v>193</v>
      </c>
      <c r="G11" s="130"/>
      <c r="H11" s="130"/>
      <c r="I11" s="4"/>
    </row>
    <row r="12" ht="69.6" customHeight="1" spans="1:9">
      <c r="A12" s="4"/>
      <c r="B12" s="145">
        <v>30</v>
      </c>
      <c r="C12" s="145">
        <v>15</v>
      </c>
      <c r="D12" s="145">
        <v>329.2</v>
      </c>
      <c r="E12" s="143" t="s">
        <v>230</v>
      </c>
      <c r="F12" s="130"/>
      <c r="G12" s="130"/>
      <c r="H12" s="130"/>
      <c r="I12" s="4"/>
    </row>
    <row r="13" ht="70.15" customHeight="1" spans="1:9">
      <c r="A13" s="4"/>
      <c r="B13" s="145">
        <v>40</v>
      </c>
      <c r="C13" s="145">
        <v>15</v>
      </c>
      <c r="D13" s="145">
        <v>331.5</v>
      </c>
      <c r="E13" s="145" t="s">
        <v>223</v>
      </c>
      <c r="F13" s="130"/>
      <c r="G13" s="130"/>
      <c r="H13" s="130"/>
      <c r="I13" s="4"/>
    </row>
    <row r="14" ht="57.6" customHeight="1" spans="1:9">
      <c r="A14" s="4"/>
      <c r="B14" s="145">
        <v>50</v>
      </c>
      <c r="C14" s="145">
        <v>15</v>
      </c>
      <c r="D14" s="145">
        <v>335.6</v>
      </c>
      <c r="E14" s="145" t="s">
        <v>223</v>
      </c>
      <c r="F14" s="130"/>
      <c r="G14" s="130"/>
      <c r="H14" s="130"/>
      <c r="I14" s="4"/>
    </row>
    <row r="15" ht="69" customHeight="1" spans="1:9">
      <c r="A15" s="4"/>
      <c r="B15" s="145">
        <v>60</v>
      </c>
      <c r="C15" s="145">
        <v>15</v>
      </c>
      <c r="D15" s="145">
        <v>336.4</v>
      </c>
      <c r="E15" s="145" t="s">
        <v>223</v>
      </c>
      <c r="F15" s="130"/>
      <c r="G15" s="130"/>
      <c r="H15" s="130"/>
      <c r="I15" s="4"/>
    </row>
    <row r="16" ht="61.15" customHeight="1" spans="1:9">
      <c r="A16" s="4"/>
      <c r="B16" s="145">
        <v>70</v>
      </c>
      <c r="C16" s="145">
        <v>15</v>
      </c>
      <c r="D16" s="145">
        <v>339.1</v>
      </c>
      <c r="E16" s="143" t="s">
        <v>231</v>
      </c>
      <c r="F16" s="130"/>
      <c r="G16" s="130"/>
      <c r="H16" s="130"/>
      <c r="I16" s="4"/>
    </row>
    <row r="17" ht="64.15" customHeight="1" spans="1:9">
      <c r="A17" s="4"/>
      <c r="B17" s="145">
        <v>80</v>
      </c>
      <c r="C17" s="145">
        <v>15</v>
      </c>
      <c r="D17" s="145">
        <v>340.4</v>
      </c>
      <c r="E17" s="143" t="s">
        <v>231</v>
      </c>
      <c r="F17" s="130"/>
      <c r="G17" s="130"/>
      <c r="H17" s="130"/>
      <c r="I17" s="4"/>
    </row>
    <row r="18" spans="1:9">
      <c r="A18" s="4"/>
      <c r="B18" s="4"/>
      <c r="C18" s="4"/>
      <c r="D18" s="4"/>
      <c r="E18" s="4"/>
      <c r="F18" s="4"/>
      <c r="G18" s="4"/>
      <c r="H18" s="4"/>
      <c r="I18" s="4"/>
    </row>
    <row r="19" ht="36" customHeight="1" spans="1:9">
      <c r="A19" s="4"/>
      <c r="B19" s="143" t="s">
        <v>232</v>
      </c>
      <c r="C19" s="143" t="s">
        <v>233</v>
      </c>
      <c r="D19" s="143" t="s">
        <v>234</v>
      </c>
      <c r="E19" s="4"/>
      <c r="F19" s="4"/>
      <c r="G19" s="4"/>
      <c r="H19" s="4"/>
      <c r="I19" s="4"/>
    </row>
    <row r="20" ht="34.9" customHeight="1" spans="1:9">
      <c r="A20" s="4"/>
      <c r="B20" s="145">
        <v>40</v>
      </c>
      <c r="C20" s="145">
        <v>60</v>
      </c>
      <c r="D20" s="145">
        <f>(C20+B20)/2</f>
        <v>50</v>
      </c>
      <c r="E20" s="4"/>
      <c r="F20" s="4"/>
      <c r="G20" s="4"/>
      <c r="H20" s="4"/>
      <c r="I20" s="4"/>
    </row>
    <row r="21" spans="1:9">
      <c r="A21" s="4"/>
      <c r="B21" s="4"/>
      <c r="C21" s="4"/>
      <c r="D21" s="4"/>
      <c r="E21" s="4"/>
      <c r="F21" s="4"/>
      <c r="G21" s="4"/>
      <c r="H21" s="4"/>
      <c r="I21" s="4"/>
    </row>
    <row r="22" spans="1:9">
      <c r="A22" s="4"/>
      <c r="B22" s="4"/>
      <c r="C22" s="4"/>
      <c r="D22" s="4"/>
      <c r="E22" s="4"/>
      <c r="F22" s="4"/>
      <c r="G22" s="4"/>
      <c r="H22" s="4"/>
      <c r="I22" s="4"/>
    </row>
    <row r="23" spans="1:9">
      <c r="A23" s="4"/>
      <c r="B23" s="4"/>
      <c r="C23" s="4"/>
      <c r="D23" s="4"/>
      <c r="E23" s="4"/>
      <c r="F23" s="4"/>
      <c r="G23" s="4"/>
      <c r="H23" s="4"/>
      <c r="I23" s="4"/>
    </row>
    <row r="24" spans="1:9">
      <c r="A24" s="4"/>
      <c r="B24" s="4"/>
      <c r="C24" s="4"/>
      <c r="D24" s="4"/>
      <c r="E24" s="4"/>
      <c r="F24" s="4"/>
      <c r="G24" s="4"/>
      <c r="H24" s="4"/>
      <c r="I24" s="4"/>
    </row>
    <row r="25" spans="1:9">
      <c r="A25" s="4"/>
      <c r="B25" s="4"/>
      <c r="C25" s="4"/>
      <c r="D25" s="4"/>
      <c r="E25" s="4"/>
      <c r="F25" s="4"/>
      <c r="G25" s="4"/>
      <c r="H25" s="4"/>
      <c r="I25" s="4"/>
    </row>
    <row r="26" spans="1:9">
      <c r="A26" s="4"/>
      <c r="B26" s="4"/>
      <c r="C26" s="4"/>
      <c r="D26" s="4"/>
      <c r="E26" s="4"/>
      <c r="F26" s="4"/>
      <c r="G26" s="4"/>
      <c r="H26" s="4"/>
      <c r="I26" s="4"/>
    </row>
    <row r="27" spans="1:9">
      <c r="A27" s="4"/>
      <c r="B27" s="4"/>
      <c r="C27" s="4"/>
      <c r="D27" s="4"/>
      <c r="E27" s="4"/>
      <c r="F27" s="4"/>
      <c r="G27" s="4"/>
      <c r="H27" s="4"/>
      <c r="I27" s="4"/>
    </row>
    <row r="28" spans="1:9">
      <c r="A28" s="4"/>
      <c r="B28" s="4"/>
      <c r="C28" s="4"/>
      <c r="D28" s="4"/>
      <c r="E28" s="4"/>
      <c r="F28" s="4"/>
      <c r="G28" s="4"/>
      <c r="H28" s="4"/>
      <c r="I28" s="4"/>
    </row>
    <row r="29" spans="1:9">
      <c r="A29" s="4"/>
      <c r="B29" s="4"/>
      <c r="C29" s="4"/>
      <c r="D29" s="4"/>
      <c r="E29" s="4"/>
      <c r="F29" s="4"/>
      <c r="G29" s="4"/>
      <c r="H29" s="4"/>
      <c r="I29" s="4"/>
    </row>
    <row r="30" spans="1:9">
      <c r="A30" s="4"/>
      <c r="B30" s="4"/>
      <c r="C30" s="4"/>
      <c r="D30" s="4"/>
      <c r="E30" s="4"/>
      <c r="F30" s="4"/>
      <c r="G30" s="4"/>
      <c r="H30" s="4"/>
      <c r="I30" s="4"/>
    </row>
    <row r="31" spans="1:9">
      <c r="A31" s="4"/>
      <c r="B31" s="4"/>
      <c r="C31" s="4"/>
      <c r="D31" s="4"/>
      <c r="E31" s="4"/>
      <c r="F31" s="4"/>
      <c r="G31" s="4"/>
      <c r="H31" s="4"/>
      <c r="I31" s="4"/>
    </row>
    <row r="32" spans="1:9">
      <c r="A32" s="4"/>
      <c r="B32" s="4"/>
      <c r="C32" s="4"/>
      <c r="D32" s="4"/>
      <c r="E32" s="4"/>
      <c r="F32" s="4"/>
      <c r="G32" s="4"/>
      <c r="H32" s="4"/>
      <c r="I32" s="4"/>
    </row>
    <row r="33" spans="1:9">
      <c r="A33" s="4"/>
      <c r="B33" s="4"/>
      <c r="C33" s="4"/>
      <c r="D33" s="4"/>
      <c r="E33" s="4"/>
      <c r="F33" s="4"/>
      <c r="G33" s="4"/>
      <c r="H33" s="4"/>
      <c r="I33" s="4"/>
    </row>
    <row r="34" spans="1:9">
      <c r="A34" s="4"/>
      <c r="B34" s="4"/>
      <c r="C34" s="4"/>
      <c r="D34" s="4"/>
      <c r="E34" s="4"/>
      <c r="F34" s="4"/>
      <c r="G34" s="4"/>
      <c r="H34" s="4"/>
      <c r="I34" s="4"/>
    </row>
    <row r="35" spans="1:9">
      <c r="A35" s="4"/>
      <c r="B35" s="4"/>
      <c r="C35" s="4"/>
      <c r="D35" s="4"/>
      <c r="E35" s="4"/>
      <c r="F35" s="4"/>
      <c r="G35" s="4"/>
      <c r="H35" s="4"/>
      <c r="I35" s="4"/>
    </row>
  </sheetData>
  <mergeCells count="10">
    <mergeCell ref="A1:I1"/>
    <mergeCell ref="A2:I2"/>
    <mergeCell ref="F11:H11"/>
    <mergeCell ref="F12:H12"/>
    <mergeCell ref="F13:H13"/>
    <mergeCell ref="F14:H14"/>
    <mergeCell ref="F15:H15"/>
    <mergeCell ref="F16:H16"/>
    <mergeCell ref="F17:H17"/>
    <mergeCell ref="A3:I9"/>
  </mergeCells>
  <pageMargins left="0.7" right="0.7" top="0.75" bottom="0.75" header="0.3" footer="0.3"/>
  <pageSetup paperSize="9" scale="6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1"/>
  <sheetViews>
    <sheetView tabSelected="1" view="pageLayout" zoomScaleSheetLayoutView="85" zoomScaleNormal="100" topLeftCell="A18" workbookViewId="0">
      <selection activeCell="J27" sqref="J27"/>
    </sheetView>
  </sheetViews>
  <sheetFormatPr defaultColWidth="9" defaultRowHeight="16.8"/>
  <cols>
    <col min="1" max="1" width="7.375" customWidth="1"/>
    <col min="2" max="2" width="16.75" customWidth="1"/>
    <col min="3" max="3" width="15.125" customWidth="1"/>
    <col min="4" max="4" width="11.25" customWidth="1"/>
    <col min="5" max="5" width="9.625" customWidth="1"/>
    <col min="6" max="6" width="9.5" customWidth="1"/>
    <col min="7" max="7" width="9.625" customWidth="1"/>
    <col min="8" max="8" width="9.5" customWidth="1"/>
    <col min="9" max="9" width="22.5" customWidth="1"/>
  </cols>
  <sheetData>
    <row r="1" ht="31.6" spans="1:9">
      <c r="A1" s="1" t="s">
        <v>235</v>
      </c>
      <c r="B1" s="1"/>
      <c r="C1" s="1"/>
      <c r="D1" s="1"/>
      <c r="E1" s="1"/>
      <c r="F1" s="1"/>
      <c r="G1" s="1"/>
      <c r="H1" s="1"/>
      <c r="I1" s="1"/>
    </row>
    <row r="2" ht="7.15" customHeight="1" spans="1:9">
      <c r="A2" s="135"/>
      <c r="B2" s="135"/>
      <c r="C2" s="135"/>
      <c r="D2" s="135"/>
      <c r="E2" s="135"/>
      <c r="F2" s="135"/>
      <c r="G2" s="135"/>
      <c r="H2" s="135"/>
      <c r="I2" s="135"/>
    </row>
    <row r="3" spans="1:9">
      <c r="A3" s="121" t="s">
        <v>236</v>
      </c>
      <c r="B3" s="136"/>
      <c r="C3" s="136"/>
      <c r="D3" s="136"/>
      <c r="E3" s="136"/>
      <c r="F3" s="136"/>
      <c r="G3" s="136"/>
      <c r="H3" s="136"/>
      <c r="I3" s="136"/>
    </row>
    <row r="4" spans="1:9">
      <c r="A4" s="137"/>
      <c r="B4" s="137"/>
      <c r="C4" s="137"/>
      <c r="D4" s="137"/>
      <c r="E4" s="137"/>
      <c r="F4" s="137"/>
      <c r="G4" s="137"/>
      <c r="H4" s="137"/>
      <c r="I4" s="137"/>
    </row>
    <row r="5" spans="1:9">
      <c r="A5" s="137"/>
      <c r="B5" s="137"/>
      <c r="C5" s="137"/>
      <c r="D5" s="137"/>
      <c r="E5" s="137"/>
      <c r="F5" s="137"/>
      <c r="G5" s="137"/>
      <c r="H5" s="137"/>
      <c r="I5" s="137"/>
    </row>
    <row r="6" spans="1:9">
      <c r="A6" s="137"/>
      <c r="B6" s="137"/>
      <c r="C6" s="137"/>
      <c r="D6" s="137"/>
      <c r="E6" s="137"/>
      <c r="F6" s="137"/>
      <c r="G6" s="137"/>
      <c r="H6" s="137"/>
      <c r="I6" s="137"/>
    </row>
    <row r="7" spans="1:9">
      <c r="A7" s="137"/>
      <c r="B7" s="137"/>
      <c r="C7" s="137"/>
      <c r="D7" s="137"/>
      <c r="E7" s="137"/>
      <c r="F7" s="137"/>
      <c r="G7" s="137"/>
      <c r="H7" s="137"/>
      <c r="I7" s="137"/>
    </row>
    <row r="8" spans="1:9">
      <c r="A8" s="137"/>
      <c r="B8" s="137"/>
      <c r="C8" s="137"/>
      <c r="D8" s="137"/>
      <c r="E8" s="137"/>
      <c r="F8" s="137"/>
      <c r="G8" s="137"/>
      <c r="H8" s="137"/>
      <c r="I8" s="137"/>
    </row>
    <row r="9" spans="1:9">
      <c r="A9" s="137"/>
      <c r="B9" s="137"/>
      <c r="C9" s="137"/>
      <c r="D9" s="137"/>
      <c r="E9" s="137"/>
      <c r="F9" s="137"/>
      <c r="G9" s="137"/>
      <c r="H9" s="137"/>
      <c r="I9" s="137"/>
    </row>
    <row r="10" spans="1:9">
      <c r="A10" s="137"/>
      <c r="B10" s="137"/>
      <c r="C10" s="137"/>
      <c r="D10" s="137"/>
      <c r="E10" s="137"/>
      <c r="F10" s="137"/>
      <c r="G10" s="137"/>
      <c r="H10" s="137"/>
      <c r="I10" s="137"/>
    </row>
    <row r="11" spans="1:9">
      <c r="A11" s="137"/>
      <c r="B11" s="137"/>
      <c r="C11" s="137"/>
      <c r="D11" s="137"/>
      <c r="E11" s="137"/>
      <c r="F11" s="137"/>
      <c r="G11" s="137"/>
      <c r="H11" s="137"/>
      <c r="I11" s="137"/>
    </row>
    <row r="12" spans="1:9">
      <c r="A12" s="137"/>
      <c r="B12" s="137"/>
      <c r="C12" s="137"/>
      <c r="D12" s="137"/>
      <c r="E12" s="137"/>
      <c r="F12" s="137"/>
      <c r="G12" s="137"/>
      <c r="H12" s="137"/>
      <c r="I12" s="137"/>
    </row>
    <row r="13" spans="1:9">
      <c r="A13" s="137"/>
      <c r="B13" s="137"/>
      <c r="C13" s="137"/>
      <c r="D13" s="137"/>
      <c r="E13" s="137"/>
      <c r="F13" s="137"/>
      <c r="G13" s="137"/>
      <c r="H13" s="137"/>
      <c r="I13" s="137"/>
    </row>
    <row r="14" spans="1:9">
      <c r="A14" s="137"/>
      <c r="B14" s="137"/>
      <c r="C14" s="137"/>
      <c r="D14" s="137"/>
      <c r="E14" s="137"/>
      <c r="F14" s="137"/>
      <c r="G14" s="137"/>
      <c r="H14" s="137"/>
      <c r="I14" s="137"/>
    </row>
    <row r="15" spans="1:9">
      <c r="A15" s="137"/>
      <c r="B15" s="137"/>
      <c r="C15" s="137"/>
      <c r="D15" s="137"/>
      <c r="E15" s="137"/>
      <c r="F15" s="137"/>
      <c r="G15" s="137"/>
      <c r="H15" s="137"/>
      <c r="I15" s="137"/>
    </row>
    <row r="16" ht="86.45" customHeight="1" spans="1:9">
      <c r="A16" s="137"/>
      <c r="B16" s="137"/>
      <c r="C16" s="137"/>
      <c r="D16" s="137"/>
      <c r="E16" s="137"/>
      <c r="F16" s="137"/>
      <c r="G16" s="137"/>
      <c r="H16" s="137"/>
      <c r="I16" s="137"/>
    </row>
    <row r="17" ht="52.9" customHeight="1" spans="1:9">
      <c r="A17" s="137"/>
      <c r="B17" s="137"/>
      <c r="C17" s="137"/>
      <c r="D17" s="137"/>
      <c r="E17" s="137"/>
      <c r="F17" s="137"/>
      <c r="G17" s="137"/>
      <c r="H17" s="137"/>
      <c r="I17" s="137"/>
    </row>
    <row r="18" ht="60" customHeight="1" spans="1:9">
      <c r="A18" s="137"/>
      <c r="B18" s="137"/>
      <c r="C18" s="137"/>
      <c r="D18" s="137"/>
      <c r="E18" s="137"/>
      <c r="F18" s="137"/>
      <c r="G18" s="137"/>
      <c r="H18" s="137"/>
      <c r="I18" s="137"/>
    </row>
    <row r="19" ht="23.45" customHeight="1" spans="1:9">
      <c r="A19" s="4"/>
      <c r="B19" s="4"/>
      <c r="C19" s="4"/>
      <c r="D19" s="4"/>
      <c r="E19" s="4"/>
      <c r="F19" s="4"/>
      <c r="G19" s="4"/>
      <c r="H19" s="4"/>
      <c r="I19" s="4"/>
    </row>
    <row r="20" ht="48.6" customHeight="1" spans="1:9">
      <c r="A20" s="138" t="s">
        <v>237</v>
      </c>
      <c r="B20" s="138" t="s">
        <v>238</v>
      </c>
      <c r="C20" s="138" t="s">
        <v>239</v>
      </c>
      <c r="D20" s="4"/>
      <c r="E20" s="4"/>
      <c r="F20" s="4"/>
      <c r="G20" s="4"/>
      <c r="H20" s="4"/>
      <c r="I20" s="4"/>
    </row>
    <row r="21" ht="27" customHeight="1" spans="1:9">
      <c r="A21" s="139">
        <v>1</v>
      </c>
      <c r="B21" s="140">
        <v>3</v>
      </c>
      <c r="C21" s="140">
        <v>327.2</v>
      </c>
      <c r="D21" s="4"/>
      <c r="E21" s="4"/>
      <c r="F21" s="4"/>
      <c r="G21" s="4"/>
      <c r="H21" s="4"/>
      <c r="I21" s="4"/>
    </row>
    <row r="22" ht="33.6" customHeight="1" spans="1:9">
      <c r="A22" s="139">
        <v>2</v>
      </c>
      <c r="B22" s="140">
        <v>4</v>
      </c>
      <c r="C22" s="140">
        <v>328.54</v>
      </c>
      <c r="D22" s="4"/>
      <c r="E22" s="4"/>
      <c r="F22" s="4"/>
      <c r="G22" s="4"/>
      <c r="H22" s="4"/>
      <c r="I22" s="4"/>
    </row>
    <row r="23" ht="31.15" customHeight="1" spans="1:9">
      <c r="A23" s="139">
        <v>3</v>
      </c>
      <c r="B23" s="140">
        <v>5</v>
      </c>
      <c r="C23" s="140">
        <v>330.92</v>
      </c>
      <c r="D23" s="4"/>
      <c r="E23" s="4"/>
      <c r="F23" s="4"/>
      <c r="G23" s="4"/>
      <c r="H23" s="4"/>
      <c r="I23" s="4"/>
    </row>
    <row r="24" ht="30" customHeight="1" spans="1:9">
      <c r="A24" s="139">
        <v>4</v>
      </c>
      <c r="B24" s="140">
        <v>6</v>
      </c>
      <c r="C24" s="140">
        <v>332.96</v>
      </c>
      <c r="D24" s="4"/>
      <c r="E24" s="4"/>
      <c r="F24" s="4"/>
      <c r="G24" s="4"/>
      <c r="H24" s="4"/>
      <c r="I24" s="4"/>
    </row>
    <row r="25" ht="31.15" customHeight="1" spans="1:9">
      <c r="A25" s="139">
        <v>5</v>
      </c>
      <c r="B25" s="140">
        <v>7</v>
      </c>
      <c r="C25" s="140">
        <v>333.5</v>
      </c>
      <c r="D25" s="4"/>
      <c r="E25" s="4"/>
      <c r="F25" s="4"/>
      <c r="G25" s="4"/>
      <c r="H25" s="4"/>
      <c r="I25" s="4"/>
    </row>
    <row r="26" ht="31.9" customHeight="1" spans="1:9">
      <c r="A26" s="139">
        <v>6</v>
      </c>
      <c r="B26" s="140">
        <v>8</v>
      </c>
      <c r="C26" s="140">
        <v>334.02</v>
      </c>
      <c r="D26" s="4"/>
      <c r="E26" s="4"/>
      <c r="F26" s="4"/>
      <c r="G26" s="4"/>
      <c r="H26" s="4"/>
      <c r="I26" s="4"/>
    </row>
    <row r="27" ht="30" customHeight="1" spans="1:9">
      <c r="A27" s="139">
        <v>7</v>
      </c>
      <c r="B27" s="140">
        <v>9</v>
      </c>
      <c r="C27" s="140">
        <v>334.65</v>
      </c>
      <c r="D27" s="4"/>
      <c r="E27" s="4"/>
      <c r="F27" s="4"/>
      <c r="G27" s="4"/>
      <c r="H27" s="4"/>
      <c r="I27" s="4"/>
    </row>
    <row r="28" ht="24" customHeight="1" spans="1:9">
      <c r="A28" s="139">
        <v>8</v>
      </c>
      <c r="B28" s="140">
        <v>10</v>
      </c>
      <c r="C28" s="140">
        <v>335.2</v>
      </c>
      <c r="D28" s="4"/>
      <c r="E28" s="4"/>
      <c r="F28" s="4"/>
      <c r="G28" s="4"/>
      <c r="H28" s="4"/>
      <c r="I28" s="4"/>
    </row>
    <row r="29" ht="30" customHeight="1" spans="1:9">
      <c r="A29" s="139">
        <v>9</v>
      </c>
      <c r="B29" s="140">
        <v>11</v>
      </c>
      <c r="C29" s="140">
        <v>335.5</v>
      </c>
      <c r="D29" s="4"/>
      <c r="E29" s="4"/>
      <c r="F29" s="4"/>
      <c r="G29" s="4"/>
      <c r="H29" s="4"/>
      <c r="I29" s="4"/>
    </row>
    <row r="30" ht="31.15" customHeight="1" spans="1:9">
      <c r="A30" s="139">
        <v>10</v>
      </c>
      <c r="B30" s="140">
        <v>12</v>
      </c>
      <c r="C30" s="140">
        <v>335.7</v>
      </c>
      <c r="D30" s="4"/>
      <c r="E30" s="4"/>
      <c r="F30" s="4"/>
      <c r="G30" s="4"/>
      <c r="H30" s="4"/>
      <c r="I30" s="4"/>
    </row>
    <row r="31" ht="31.15" customHeight="1" spans="1:9">
      <c r="A31" s="139">
        <v>11</v>
      </c>
      <c r="B31" s="140">
        <v>13</v>
      </c>
      <c r="C31" s="140">
        <v>335.7</v>
      </c>
      <c r="D31" s="4"/>
      <c r="E31" s="4"/>
      <c r="F31" s="4"/>
      <c r="G31" s="4"/>
      <c r="H31" s="4"/>
      <c r="I31" s="4"/>
    </row>
    <row r="32" spans="1:9">
      <c r="A32" s="4"/>
      <c r="B32" s="4"/>
      <c r="C32" s="4"/>
      <c r="D32" s="4"/>
      <c r="E32" s="4"/>
      <c r="F32" s="4"/>
      <c r="G32" s="4"/>
      <c r="H32" s="4"/>
      <c r="I32" s="4"/>
    </row>
    <row r="33" ht="35.45" customHeight="1" spans="1:9">
      <c r="A33" s="141" t="s">
        <v>240</v>
      </c>
      <c r="B33" s="141"/>
      <c r="C33" s="141">
        <v>12</v>
      </c>
      <c r="D33" s="4"/>
      <c r="F33" s="4"/>
      <c r="G33" s="4"/>
      <c r="H33" s="4"/>
      <c r="I33" s="4"/>
    </row>
    <row r="34" ht="42" customHeight="1" spans="1:9">
      <c r="A34" s="141" t="s">
        <v>241</v>
      </c>
      <c r="B34" s="141"/>
      <c r="C34" s="141">
        <f>C33+1</f>
        <v>13</v>
      </c>
      <c r="D34" s="4"/>
      <c r="E34" s="4"/>
      <c r="F34" s="4"/>
      <c r="G34" s="4"/>
      <c r="H34" s="4"/>
      <c r="I34" s="4"/>
    </row>
    <row r="35" ht="12.6" customHeight="1" spans="1:9">
      <c r="A35" s="4"/>
      <c r="B35" s="4"/>
      <c r="C35" s="4"/>
      <c r="D35" s="4"/>
      <c r="E35" s="4"/>
      <c r="F35" s="4"/>
      <c r="G35" s="4"/>
      <c r="H35" s="4"/>
      <c r="I35" s="4"/>
    </row>
    <row r="36" hidden="1" spans="1:9">
      <c r="A36" s="4"/>
      <c r="B36" s="4"/>
      <c r="C36" s="4"/>
      <c r="D36" s="4"/>
      <c r="E36" s="4"/>
      <c r="F36" s="4"/>
      <c r="G36" s="4"/>
      <c r="H36" s="4"/>
      <c r="I36" s="4"/>
    </row>
    <row r="37" hidden="1" spans="1:9">
      <c r="A37" s="126"/>
      <c r="B37" s="126"/>
      <c r="C37" s="126"/>
      <c r="D37" s="126"/>
      <c r="E37" s="126"/>
      <c r="F37" s="126"/>
      <c r="G37" s="126"/>
      <c r="H37" s="126"/>
      <c r="I37" s="126"/>
    </row>
    <row r="38" hidden="1" spans="1:9">
      <c r="A38" s="126"/>
      <c r="B38" s="126"/>
      <c r="C38" s="126"/>
      <c r="D38" s="126"/>
      <c r="E38" s="126"/>
      <c r="F38" s="126"/>
      <c r="G38" s="126"/>
      <c r="H38" s="126"/>
      <c r="I38" s="126"/>
    </row>
    <row r="39" hidden="1" spans="1:9">
      <c r="A39" s="126"/>
      <c r="B39" s="126"/>
      <c r="C39" s="126"/>
      <c r="D39" s="126"/>
      <c r="E39" s="126"/>
      <c r="F39" s="126"/>
      <c r="G39" s="126"/>
      <c r="H39" s="126"/>
      <c r="I39" s="126"/>
    </row>
    <row r="40" hidden="1" spans="1:9">
      <c r="A40" s="126"/>
      <c r="B40" s="126"/>
      <c r="C40" s="126"/>
      <c r="D40" s="126"/>
      <c r="E40" s="126"/>
      <c r="F40" s="126"/>
      <c r="G40" s="126"/>
      <c r="H40" s="126"/>
      <c r="I40" s="126"/>
    </row>
    <row r="41" hidden="1" spans="1:9">
      <c r="A41" s="126"/>
      <c r="B41" s="126"/>
      <c r="C41" s="126"/>
      <c r="D41" s="126"/>
      <c r="E41" s="126"/>
      <c r="F41" s="126"/>
      <c r="G41" s="126"/>
      <c r="H41" s="126"/>
      <c r="I41" s="126"/>
    </row>
    <row r="42" hidden="1" spans="1:9">
      <c r="A42" s="126"/>
      <c r="B42" s="126"/>
      <c r="C42" s="126"/>
      <c r="D42" s="126"/>
      <c r="E42" s="126"/>
      <c r="F42" s="126"/>
      <c r="G42" s="126"/>
      <c r="H42" s="126"/>
      <c r="I42" s="126"/>
    </row>
    <row r="43" ht="7.15" customHeight="1" spans="1:9">
      <c r="A43" s="126"/>
      <c r="B43" s="126"/>
      <c r="C43" s="126"/>
      <c r="D43" s="126"/>
      <c r="E43" s="126"/>
      <c r="F43" s="126"/>
      <c r="G43" s="126"/>
      <c r="H43" s="126"/>
      <c r="I43" s="126"/>
    </row>
    <row r="44" hidden="1" spans="1:9">
      <c r="A44" s="4"/>
      <c r="B44" s="4"/>
      <c r="C44" s="4"/>
      <c r="D44" s="4"/>
      <c r="E44" s="4"/>
      <c r="F44" s="4"/>
      <c r="G44" s="4"/>
      <c r="H44" s="4"/>
      <c r="I44" s="4"/>
    </row>
    <row r="45" hidden="1" spans="1:9">
      <c r="A45" s="4"/>
      <c r="B45" s="4"/>
      <c r="C45" s="4"/>
      <c r="D45" s="4"/>
      <c r="E45" s="4"/>
      <c r="F45" s="4"/>
      <c r="G45" s="4"/>
      <c r="H45" s="4"/>
      <c r="I45" s="4"/>
    </row>
    <row r="46" ht="11.45" hidden="1" customHeight="1" spans="1:9">
      <c r="A46" s="4"/>
      <c r="B46" s="4"/>
      <c r="C46" s="4"/>
      <c r="D46" s="4"/>
      <c r="E46" s="4"/>
      <c r="F46" s="4"/>
      <c r="G46" s="4"/>
      <c r="H46" s="4"/>
      <c r="I46" s="4"/>
    </row>
    <row r="47" hidden="1" spans="1:9">
      <c r="A47" s="4"/>
      <c r="B47" s="4"/>
      <c r="C47" s="4"/>
      <c r="D47" s="4"/>
      <c r="E47" s="4"/>
      <c r="F47" s="4"/>
      <c r="G47" s="4"/>
      <c r="H47" s="4"/>
      <c r="I47" s="4"/>
    </row>
    <row r="48" spans="1:9">
      <c r="A48" s="4"/>
      <c r="B48" s="4"/>
      <c r="C48" s="4"/>
      <c r="D48" s="4"/>
      <c r="E48" s="4"/>
      <c r="F48" s="4"/>
      <c r="G48" s="4"/>
      <c r="H48" s="4"/>
      <c r="I48" s="4"/>
    </row>
    <row r="49" spans="1:9">
      <c r="A49" s="4"/>
      <c r="B49" s="4"/>
      <c r="C49" s="4"/>
      <c r="D49" s="4"/>
      <c r="E49" s="4"/>
      <c r="F49" s="4"/>
      <c r="G49" s="4"/>
      <c r="H49" s="4"/>
      <c r="I49" s="4"/>
    </row>
    <row r="50" spans="1:9">
      <c r="A50" s="4"/>
      <c r="B50" s="4"/>
      <c r="C50" s="4"/>
      <c r="D50" s="4"/>
      <c r="E50" s="4"/>
      <c r="F50" s="4"/>
      <c r="G50" s="4"/>
      <c r="H50" s="4"/>
      <c r="I50" s="4"/>
    </row>
    <row r="51" spans="1:9">
      <c r="A51" s="4"/>
      <c r="B51" s="4"/>
      <c r="C51" s="4"/>
      <c r="D51" s="4"/>
      <c r="E51" s="4"/>
      <c r="F51" s="4"/>
      <c r="G51" s="4"/>
      <c r="H51" s="4"/>
      <c r="I51" s="4"/>
    </row>
    <row r="52" spans="1:9">
      <c r="A52" s="4"/>
      <c r="B52" s="4"/>
      <c r="C52" s="4"/>
      <c r="D52" s="4"/>
      <c r="E52" s="4"/>
      <c r="F52" s="4"/>
      <c r="G52" s="4"/>
      <c r="H52" s="4"/>
      <c r="I52" s="4"/>
    </row>
    <row r="53" spans="1:9">
      <c r="A53" s="4"/>
      <c r="B53" s="4"/>
      <c r="C53" s="4"/>
      <c r="D53" s="4"/>
      <c r="E53" s="4"/>
      <c r="F53" s="4"/>
      <c r="G53" s="4"/>
      <c r="H53" s="4"/>
      <c r="I53" s="4"/>
    </row>
    <row r="54" spans="1:9">
      <c r="A54" s="4"/>
      <c r="B54" s="4"/>
      <c r="C54" s="4"/>
      <c r="D54" s="4"/>
      <c r="E54" s="4"/>
      <c r="F54" s="4"/>
      <c r="G54" s="4"/>
      <c r="H54" s="4"/>
      <c r="I54" s="4"/>
    </row>
    <row r="55" spans="1:9">
      <c r="A55" s="4"/>
      <c r="B55" s="4"/>
      <c r="C55" s="4"/>
      <c r="D55" s="4"/>
      <c r="E55" s="4"/>
      <c r="F55" s="4"/>
      <c r="G55" s="4"/>
      <c r="H55" s="4"/>
      <c r="I55" s="4"/>
    </row>
    <row r="56" spans="1:9">
      <c r="A56" s="4"/>
      <c r="B56" s="4"/>
      <c r="C56" s="4"/>
      <c r="D56" s="4"/>
      <c r="E56" s="4"/>
      <c r="F56" s="4"/>
      <c r="G56" s="4"/>
      <c r="H56" s="4"/>
      <c r="I56" s="4"/>
    </row>
    <row r="57" spans="1:9">
      <c r="A57" s="4"/>
      <c r="B57" s="4"/>
      <c r="C57" s="4"/>
      <c r="D57" s="4"/>
      <c r="E57" s="4"/>
      <c r="F57" s="4"/>
      <c r="G57" s="4"/>
      <c r="H57" s="4"/>
      <c r="I57" s="4"/>
    </row>
    <row r="58" spans="1:9">
      <c r="A58" s="4"/>
      <c r="B58" s="4"/>
      <c r="C58" s="4"/>
      <c r="D58" s="4"/>
      <c r="E58" s="4"/>
      <c r="F58" s="4"/>
      <c r="G58" s="4"/>
      <c r="H58" s="4"/>
      <c r="I58" s="4"/>
    </row>
    <row r="59" spans="1:9">
      <c r="A59" s="4"/>
      <c r="B59" s="4"/>
      <c r="C59" s="4"/>
      <c r="D59" s="4"/>
      <c r="E59" s="4"/>
      <c r="F59" s="4"/>
      <c r="G59" s="4"/>
      <c r="H59" s="4"/>
      <c r="I59" s="4"/>
    </row>
    <row r="60" spans="1:9">
      <c r="A60" s="4"/>
      <c r="B60" s="4"/>
      <c r="C60" s="4"/>
      <c r="D60" s="4"/>
      <c r="E60" s="4"/>
      <c r="F60" s="4"/>
      <c r="G60" s="4"/>
      <c r="H60" s="4"/>
      <c r="I60" s="4"/>
    </row>
    <row r="61" spans="1:9">
      <c r="A61" s="4"/>
      <c r="B61" s="4"/>
      <c r="C61" s="4"/>
      <c r="D61" s="4"/>
      <c r="E61" s="4"/>
      <c r="F61" s="4"/>
      <c r="G61" s="4"/>
      <c r="H61" s="4"/>
      <c r="I61" s="4"/>
    </row>
    <row r="62" spans="1:9">
      <c r="A62" s="4"/>
      <c r="B62" s="4"/>
      <c r="C62" s="4"/>
      <c r="D62" s="4"/>
      <c r="E62" s="4"/>
      <c r="F62" s="4"/>
      <c r="G62" s="4"/>
      <c r="H62" s="4"/>
      <c r="I62" s="4"/>
    </row>
    <row r="63" spans="1:9">
      <c r="A63" s="4"/>
      <c r="B63" s="4"/>
      <c r="C63" s="4"/>
      <c r="D63" s="4"/>
      <c r="E63" s="4"/>
      <c r="F63" s="4"/>
      <c r="G63" s="4"/>
      <c r="H63" s="4"/>
      <c r="I63" s="4"/>
    </row>
    <row r="64" spans="1:9">
      <c r="A64" s="4"/>
      <c r="B64" s="4"/>
      <c r="C64" s="4"/>
      <c r="D64" s="4"/>
      <c r="E64" s="4"/>
      <c r="F64" s="4"/>
      <c r="G64" s="4"/>
      <c r="H64" s="4"/>
      <c r="I64" s="4"/>
    </row>
    <row r="65" spans="1:9">
      <c r="A65" s="4"/>
      <c r="B65" s="4"/>
      <c r="C65" s="4"/>
      <c r="D65" s="4"/>
      <c r="E65" s="4"/>
      <c r="F65" s="4"/>
      <c r="G65" s="4"/>
      <c r="H65" s="4"/>
      <c r="I65" s="4"/>
    </row>
    <row r="66" spans="1:9">
      <c r="A66" s="4"/>
      <c r="B66" s="4"/>
      <c r="C66" s="4"/>
      <c r="D66" s="4"/>
      <c r="E66" s="4"/>
      <c r="F66" s="4"/>
      <c r="G66" s="4"/>
      <c r="H66" s="4"/>
      <c r="I66" s="4"/>
    </row>
    <row r="67" spans="1:9">
      <c r="A67" s="4"/>
      <c r="B67" s="4"/>
      <c r="C67" s="4"/>
      <c r="D67" s="4"/>
      <c r="E67" s="4"/>
      <c r="F67" s="4"/>
      <c r="G67" s="4"/>
      <c r="H67" s="4"/>
      <c r="I67" s="4"/>
    </row>
    <row r="68" spans="1:9">
      <c r="A68" s="4"/>
      <c r="B68" s="4"/>
      <c r="C68" s="4"/>
      <c r="D68" s="4"/>
      <c r="E68" s="4"/>
      <c r="F68" s="4"/>
      <c r="G68" s="4"/>
      <c r="H68" s="4"/>
      <c r="I68" s="4"/>
    </row>
    <row r="69" spans="1:9">
      <c r="A69" s="4"/>
      <c r="B69" s="4"/>
      <c r="C69" s="4"/>
      <c r="D69" s="4"/>
      <c r="E69" s="4"/>
      <c r="F69" s="4"/>
      <c r="G69" s="4"/>
      <c r="H69" s="4"/>
      <c r="I69" s="4"/>
    </row>
    <row r="70" spans="1:9">
      <c r="A70" s="4"/>
      <c r="B70" s="4"/>
      <c r="C70" s="4"/>
      <c r="D70" s="4"/>
      <c r="E70" s="4"/>
      <c r="F70" s="4"/>
      <c r="G70" s="4"/>
      <c r="H70" s="4"/>
      <c r="I70" s="4"/>
    </row>
    <row r="71" spans="1:9">
      <c r="A71" s="4"/>
      <c r="B71" s="4"/>
      <c r="C71" s="4"/>
      <c r="D71" s="4"/>
      <c r="E71" s="4"/>
      <c r="F71" s="4"/>
      <c r="G71" s="4"/>
      <c r="H71" s="4"/>
      <c r="I71" s="4"/>
    </row>
    <row r="72" spans="1:9">
      <c r="A72" s="4"/>
      <c r="B72" s="4"/>
      <c r="C72" s="4"/>
      <c r="D72" s="4"/>
      <c r="E72" s="4"/>
      <c r="F72" s="4"/>
      <c r="G72" s="4"/>
      <c r="H72" s="4"/>
      <c r="I72" s="4"/>
    </row>
    <row r="73" spans="1:9">
      <c r="A73" s="4"/>
      <c r="B73" s="4"/>
      <c r="C73" s="4"/>
      <c r="D73" s="4"/>
      <c r="E73" s="4"/>
      <c r="F73" s="4"/>
      <c r="G73" s="4"/>
      <c r="H73" s="4"/>
      <c r="I73" s="4"/>
    </row>
    <row r="74" spans="1:9">
      <c r="A74" s="4"/>
      <c r="B74" s="4"/>
      <c r="C74" s="4"/>
      <c r="D74" s="4"/>
      <c r="E74" s="4"/>
      <c r="F74" s="4"/>
      <c r="G74" s="4"/>
      <c r="H74" s="4"/>
      <c r="I74" s="4"/>
    </row>
    <row r="75" spans="1:9">
      <c r="A75" s="4"/>
      <c r="B75" s="4"/>
      <c r="C75" s="4"/>
      <c r="D75" s="4"/>
      <c r="E75" s="4"/>
      <c r="F75" s="4"/>
      <c r="G75" s="4"/>
      <c r="H75" s="4"/>
      <c r="I75" s="4"/>
    </row>
    <row r="76" spans="1:9">
      <c r="A76" s="4"/>
      <c r="B76" s="4"/>
      <c r="C76" s="4"/>
      <c r="D76" s="4"/>
      <c r="E76" s="4"/>
      <c r="F76" s="4"/>
      <c r="G76" s="4"/>
      <c r="H76" s="4"/>
      <c r="I76" s="4"/>
    </row>
    <row r="77" spans="1:9">
      <c r="A77" s="4"/>
      <c r="B77" s="4"/>
      <c r="C77" s="4"/>
      <c r="D77" s="4"/>
      <c r="E77" s="4"/>
      <c r="F77" s="4"/>
      <c r="G77" s="4"/>
      <c r="H77" s="4"/>
      <c r="I77" s="4"/>
    </row>
    <row r="78" spans="1:9">
      <c r="A78" s="4"/>
      <c r="B78" s="4"/>
      <c r="C78" s="4"/>
      <c r="D78" s="4"/>
      <c r="E78" s="4"/>
      <c r="F78" s="4"/>
      <c r="G78" s="4"/>
      <c r="H78" s="4"/>
      <c r="I78" s="4"/>
    </row>
    <row r="79" spans="1:9">
      <c r="A79" s="4"/>
      <c r="B79" s="4"/>
      <c r="C79" s="4"/>
      <c r="D79" s="4"/>
      <c r="E79" s="4"/>
      <c r="F79" s="4"/>
      <c r="G79" s="4"/>
      <c r="H79" s="4"/>
      <c r="I79" s="4"/>
    </row>
    <row r="80" spans="1:9">
      <c r="A80" s="4"/>
      <c r="B80" s="4"/>
      <c r="C80" s="4"/>
      <c r="D80" s="4"/>
      <c r="E80" s="4"/>
      <c r="F80" s="4"/>
      <c r="G80" s="4"/>
      <c r="H80" s="4"/>
      <c r="I80" s="4"/>
    </row>
    <row r="81" spans="1:9">
      <c r="A81" s="4"/>
      <c r="B81" s="4"/>
      <c r="C81" s="4"/>
      <c r="D81" s="4"/>
      <c r="E81" s="4"/>
      <c r="F81" s="4"/>
      <c r="G81" s="4"/>
      <c r="H81" s="4"/>
      <c r="I81" s="4"/>
    </row>
    <row r="82" spans="1:9">
      <c r="A82" s="4"/>
      <c r="B82" s="4"/>
      <c r="C82" s="4"/>
      <c r="D82" s="4"/>
      <c r="E82" s="4"/>
      <c r="F82" s="4"/>
      <c r="G82" s="4"/>
      <c r="H82" s="4"/>
      <c r="I82" s="4"/>
    </row>
    <row r="83" spans="1:9">
      <c r="A83" s="4"/>
      <c r="B83" s="4"/>
      <c r="C83" s="4"/>
      <c r="D83" s="4"/>
      <c r="E83" s="4"/>
      <c r="F83" s="4"/>
      <c r="G83" s="4"/>
      <c r="H83" s="4"/>
      <c r="I83" s="4"/>
    </row>
    <row r="84" spans="1:9">
      <c r="A84" s="4"/>
      <c r="B84" s="4"/>
      <c r="C84" s="4"/>
      <c r="D84" s="4"/>
      <c r="E84" s="4"/>
      <c r="F84" s="4"/>
      <c r="G84" s="4"/>
      <c r="H84" s="4"/>
      <c r="I84" s="4"/>
    </row>
    <row r="85" spans="1:9">
      <c r="A85" s="4"/>
      <c r="B85" s="4"/>
      <c r="C85" s="4"/>
      <c r="D85" s="4"/>
      <c r="E85" s="4"/>
      <c r="F85" s="4"/>
      <c r="G85" s="4"/>
      <c r="H85" s="4"/>
      <c r="I85" s="4"/>
    </row>
    <row r="86" spans="1:9">
      <c r="A86" s="4"/>
      <c r="B86" s="4"/>
      <c r="C86" s="4"/>
      <c r="D86" s="4"/>
      <c r="E86" s="4"/>
      <c r="F86" s="4"/>
      <c r="G86" s="4"/>
      <c r="H86" s="4"/>
      <c r="I86" s="4"/>
    </row>
    <row r="87" spans="1:9">
      <c r="A87" s="4"/>
      <c r="B87" s="4"/>
      <c r="C87" s="4"/>
      <c r="D87" s="4"/>
      <c r="E87" s="4"/>
      <c r="F87" s="4"/>
      <c r="G87" s="4"/>
      <c r="H87" s="4"/>
      <c r="I87" s="4"/>
    </row>
    <row r="88" spans="1:9">
      <c r="A88" s="4"/>
      <c r="B88" s="4"/>
      <c r="C88" s="4"/>
      <c r="D88" s="4"/>
      <c r="E88" s="4"/>
      <c r="F88" s="4"/>
      <c r="G88" s="4"/>
      <c r="H88" s="4"/>
      <c r="I88" s="4"/>
    </row>
    <row r="89" spans="1:9">
      <c r="A89" s="4"/>
      <c r="B89" s="4"/>
      <c r="C89" s="4"/>
      <c r="D89" s="4"/>
      <c r="E89" s="4"/>
      <c r="F89" s="4"/>
      <c r="G89" s="4"/>
      <c r="H89" s="4"/>
      <c r="I89" s="4"/>
    </row>
    <row r="90" spans="1:9">
      <c r="A90" s="4"/>
      <c r="B90" s="4"/>
      <c r="C90" s="4"/>
      <c r="D90" s="4"/>
      <c r="E90" s="4"/>
      <c r="F90" s="4"/>
      <c r="G90" s="4"/>
      <c r="H90" s="4"/>
      <c r="I90" s="4"/>
    </row>
    <row r="91" spans="1:9">
      <c r="A91" s="4"/>
      <c r="B91" s="4"/>
      <c r="C91" s="4"/>
      <c r="D91" s="4"/>
      <c r="E91" s="4"/>
      <c r="F91" s="4"/>
      <c r="G91" s="4"/>
      <c r="H91" s="4"/>
      <c r="I91" s="4"/>
    </row>
  </sheetData>
  <mergeCells count="6">
    <mergeCell ref="A1:I1"/>
    <mergeCell ref="A2:I2"/>
    <mergeCell ref="A33:B33"/>
    <mergeCell ref="A34:B34"/>
    <mergeCell ref="A37:I43"/>
    <mergeCell ref="A3:I18"/>
  </mergeCells>
  <pageMargins left="0.7" right="0.7" top="0.75" bottom="0.75" header="0.3" footer="0.3"/>
  <pageSetup paperSize="9" scale="77"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view="pageLayout" zoomScaleSheetLayoutView="107" zoomScaleNormal="100" topLeftCell="A15" workbookViewId="0">
      <selection activeCell="F19" sqref="F19"/>
    </sheetView>
  </sheetViews>
  <sheetFormatPr defaultColWidth="10.75" defaultRowHeight="16.8" outlineLevelCol="7"/>
  <cols>
    <col min="1" max="1" width="8.75" customWidth="1"/>
    <col min="2" max="2" width="4.375" customWidth="1"/>
    <col min="3" max="3" width="17.875" customWidth="1"/>
    <col min="4" max="4" width="13.25" customWidth="1"/>
    <col min="5" max="5" width="12.75" customWidth="1"/>
    <col min="6" max="6" width="20.875" customWidth="1"/>
    <col min="7" max="7" width="32.625" customWidth="1"/>
    <col min="8" max="8" width="12.25" customWidth="1"/>
  </cols>
  <sheetData>
    <row r="1" ht="31.6" spans="1:8">
      <c r="A1" s="1" t="s">
        <v>242</v>
      </c>
      <c r="B1" s="1"/>
      <c r="C1" s="1"/>
      <c r="D1" s="1"/>
      <c r="E1" s="1"/>
      <c r="F1" s="1"/>
      <c r="G1" s="1"/>
      <c r="H1" s="1"/>
    </row>
    <row r="2" ht="6.6" customHeight="1" spans="1:8">
      <c r="A2" s="2"/>
      <c r="B2" s="2"/>
      <c r="C2" s="2"/>
      <c r="D2" s="2"/>
      <c r="E2" s="2"/>
      <c r="F2" s="2"/>
      <c r="G2" s="2"/>
      <c r="H2" s="2"/>
    </row>
    <row r="3" spans="1:8">
      <c r="A3" s="121" t="s">
        <v>243</v>
      </c>
      <c r="B3" s="122"/>
      <c r="C3" s="122"/>
      <c r="D3" s="122"/>
      <c r="E3" s="122"/>
      <c r="F3" s="122"/>
      <c r="G3" s="122"/>
      <c r="H3" s="122"/>
    </row>
    <row r="4" spans="1:8">
      <c r="A4" s="123"/>
      <c r="B4" s="123"/>
      <c r="C4" s="123"/>
      <c r="D4" s="123"/>
      <c r="E4" s="123"/>
      <c r="F4" s="123"/>
      <c r="G4" s="123"/>
      <c r="H4" s="123"/>
    </row>
    <row r="5" spans="1:8">
      <c r="A5" s="123"/>
      <c r="B5" s="123"/>
      <c r="C5" s="123"/>
      <c r="D5" s="123"/>
      <c r="E5" s="123"/>
      <c r="F5" s="123"/>
      <c r="G5" s="123"/>
      <c r="H5" s="123"/>
    </row>
    <row r="6" spans="1:8">
      <c r="A6" s="123"/>
      <c r="B6" s="123"/>
      <c r="C6" s="123"/>
      <c r="D6" s="123"/>
      <c r="E6" s="123"/>
      <c r="F6" s="123"/>
      <c r="G6" s="123"/>
      <c r="H6" s="123"/>
    </row>
    <row r="7" spans="1:8">
      <c r="A7" s="123"/>
      <c r="B7" s="123"/>
      <c r="C7" s="123"/>
      <c r="D7" s="123"/>
      <c r="E7" s="123"/>
      <c r="F7" s="123"/>
      <c r="G7" s="123"/>
      <c r="H7" s="123"/>
    </row>
    <row r="8" ht="25.9" customHeight="1" spans="1:8">
      <c r="A8" s="123"/>
      <c r="B8" s="123"/>
      <c r="C8" s="123"/>
      <c r="D8" s="123"/>
      <c r="E8" s="123"/>
      <c r="F8" s="123"/>
      <c r="G8" s="123"/>
      <c r="H8" s="123"/>
    </row>
    <row r="9" ht="21" customHeight="1" spans="1:8">
      <c r="A9" s="123"/>
      <c r="B9" s="123"/>
      <c r="C9" s="123"/>
      <c r="D9" s="123"/>
      <c r="E9" s="123"/>
      <c r="F9" s="123"/>
      <c r="G9" s="123"/>
      <c r="H9" s="123"/>
    </row>
    <row r="10" spans="1:8">
      <c r="A10" s="123"/>
      <c r="B10" s="123"/>
      <c r="C10" s="123"/>
      <c r="D10" s="123"/>
      <c r="E10" s="123"/>
      <c r="F10" s="123"/>
      <c r="G10" s="123"/>
      <c r="H10" s="123"/>
    </row>
    <row r="11" ht="22.9" customHeight="1" spans="1:8">
      <c r="A11" s="123"/>
      <c r="B11" s="123"/>
      <c r="C11" s="123"/>
      <c r="D11" s="123"/>
      <c r="E11" s="123"/>
      <c r="F11" s="123"/>
      <c r="G11" s="123"/>
      <c r="H11" s="123"/>
    </row>
    <row r="12" spans="1:8">
      <c r="A12" s="123"/>
      <c r="B12" s="123"/>
      <c r="C12" s="123"/>
      <c r="D12" s="123"/>
      <c r="E12" s="123"/>
      <c r="F12" s="123"/>
      <c r="G12" s="123"/>
      <c r="H12" s="123"/>
    </row>
    <row r="13" ht="27" customHeight="1" spans="1:8">
      <c r="A13" s="123"/>
      <c r="B13" s="123"/>
      <c r="C13" s="123"/>
      <c r="D13" s="123"/>
      <c r="E13" s="123"/>
      <c r="F13" s="123"/>
      <c r="G13" s="123"/>
      <c r="H13" s="123"/>
    </row>
    <row r="14" spans="1:8">
      <c r="A14" s="123"/>
      <c r="B14" s="123"/>
      <c r="C14" s="123"/>
      <c r="D14" s="123"/>
      <c r="E14" s="123"/>
      <c r="F14" s="123"/>
      <c r="G14" s="123"/>
      <c r="H14" s="123"/>
    </row>
    <row r="15" ht="71.45" customHeight="1" spans="1:8">
      <c r="A15" s="123"/>
      <c r="B15" s="123"/>
      <c r="C15" s="123"/>
      <c r="D15" s="123"/>
      <c r="E15" s="123"/>
      <c r="F15" s="123"/>
      <c r="G15" s="123"/>
      <c r="H15" s="123"/>
    </row>
    <row r="16" ht="29.45" customHeight="1" spans="1:8">
      <c r="A16" s="124" t="s">
        <v>244</v>
      </c>
      <c r="B16" s="125"/>
      <c r="C16" s="125" t="s">
        <v>245</v>
      </c>
      <c r="D16" s="126"/>
      <c r="E16" s="126"/>
      <c r="F16" s="126"/>
      <c r="G16" s="126"/>
      <c r="H16" s="126"/>
    </row>
    <row r="17" ht="46.15" customHeight="1" spans="1:8">
      <c r="A17" s="4"/>
      <c r="B17" s="4"/>
      <c r="C17" s="127" t="s">
        <v>237</v>
      </c>
      <c r="D17" s="128" t="s">
        <v>246</v>
      </c>
      <c r="E17" s="127" t="s">
        <v>247</v>
      </c>
      <c r="F17" s="127" t="s">
        <v>248</v>
      </c>
      <c r="G17" s="127" t="s">
        <v>193</v>
      </c>
      <c r="H17" s="126"/>
    </row>
    <row r="18" ht="46.15" customHeight="1" spans="1:8">
      <c r="A18" s="4"/>
      <c r="B18" s="4"/>
      <c r="C18" s="129">
        <v>1</v>
      </c>
      <c r="D18" s="129">
        <v>240</v>
      </c>
      <c r="E18" s="129">
        <v>335.5</v>
      </c>
      <c r="F18" s="129" t="s">
        <v>249</v>
      </c>
      <c r="G18" s="130"/>
      <c r="H18" s="126"/>
    </row>
    <row r="19" ht="46.15" customHeight="1" spans="1:8">
      <c r="A19" s="4"/>
      <c r="B19" s="4"/>
      <c r="C19" s="129">
        <v>2</v>
      </c>
      <c r="D19" s="129">
        <v>220</v>
      </c>
      <c r="E19" s="129">
        <v>335.5</v>
      </c>
      <c r="F19" s="129" t="s">
        <v>249</v>
      </c>
      <c r="G19" s="129"/>
      <c r="H19" s="126"/>
    </row>
    <row r="20" ht="46.15" customHeight="1" spans="1:8">
      <c r="A20" s="4"/>
      <c r="B20" s="4"/>
      <c r="C20" s="129">
        <v>3</v>
      </c>
      <c r="D20" s="129">
        <v>215</v>
      </c>
      <c r="E20" s="129">
        <v>338.2</v>
      </c>
      <c r="F20" s="129" t="s">
        <v>250</v>
      </c>
      <c r="G20" s="130"/>
      <c r="H20" s="126"/>
    </row>
    <row r="21" ht="46.15" customHeight="1" spans="1:8">
      <c r="A21" s="4"/>
      <c r="B21" s="4"/>
      <c r="C21" s="129">
        <v>4</v>
      </c>
      <c r="D21" s="129">
        <v>183</v>
      </c>
      <c r="E21" s="129">
        <v>341.9</v>
      </c>
      <c r="F21" s="129" t="s">
        <v>250</v>
      </c>
      <c r="G21" s="130"/>
      <c r="H21" s="126"/>
    </row>
    <row r="22" spans="1:8">
      <c r="A22" s="4"/>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row r="32" spans="1:8">
      <c r="A32" s="4"/>
      <c r="B32" s="4"/>
      <c r="C32" s="4"/>
      <c r="D32" s="4"/>
      <c r="E32" s="4"/>
      <c r="F32" s="4"/>
      <c r="G32" s="4"/>
      <c r="H32" s="131"/>
    </row>
    <row r="33" ht="19.15" customHeight="1" spans="1:8">
      <c r="A33" s="4"/>
      <c r="B33" s="4"/>
      <c r="C33" s="4"/>
      <c r="D33" s="4"/>
      <c r="E33" s="4"/>
      <c r="F33" s="4"/>
      <c r="G33" s="4"/>
      <c r="H33" s="4"/>
    </row>
    <row r="34" ht="18.6" customHeight="1" spans="1:8">
      <c r="A34" s="4"/>
      <c r="B34" s="4"/>
      <c r="C34" s="4"/>
      <c r="D34" s="4"/>
      <c r="E34" s="4"/>
      <c r="F34" s="4"/>
      <c r="G34" s="4"/>
      <c r="H34" s="4"/>
    </row>
    <row r="35" ht="19.15" customHeight="1" spans="1:8">
      <c r="A35" s="4"/>
      <c r="B35" s="4"/>
      <c r="C35" s="4"/>
      <c r="D35" s="4"/>
      <c r="E35" s="4"/>
      <c r="F35" s="4"/>
      <c r="G35" s="4"/>
      <c r="H35" s="4"/>
    </row>
    <row r="36" spans="1:8">
      <c r="A36" s="4"/>
      <c r="B36" s="4"/>
      <c r="C36" s="4"/>
      <c r="D36" s="4"/>
      <c r="E36" s="4"/>
      <c r="F36" s="4"/>
      <c r="G36" s="4"/>
      <c r="H36" s="4"/>
    </row>
    <row r="37" ht="4.15" customHeight="1" spans="1:8">
      <c r="A37" s="4"/>
      <c r="B37" s="4"/>
      <c r="C37" s="4"/>
      <c r="D37" s="4"/>
      <c r="E37" s="4"/>
      <c r="F37" s="4"/>
      <c r="G37" s="4"/>
      <c r="H37" s="4"/>
    </row>
    <row r="38" ht="49.9" customHeight="1" spans="1:8">
      <c r="A38" s="4"/>
      <c r="B38" s="4"/>
      <c r="C38" s="132" t="s">
        <v>251</v>
      </c>
      <c r="D38" s="125"/>
      <c r="E38" s="4"/>
      <c r="F38" s="133" t="s">
        <v>252</v>
      </c>
      <c r="G38" s="134">
        <v>220</v>
      </c>
      <c r="H38" s="4"/>
    </row>
    <row r="39" spans="1:8">
      <c r="A39" s="4"/>
      <c r="B39" s="4"/>
      <c r="C39" s="4"/>
      <c r="D39" s="4"/>
      <c r="E39" s="4"/>
      <c r="F39" s="4"/>
      <c r="G39" s="4"/>
      <c r="H39" s="4"/>
    </row>
    <row r="40" spans="1:8">
      <c r="A40" s="4"/>
      <c r="B40" s="4"/>
      <c r="C40" s="4"/>
      <c r="D40" s="4"/>
      <c r="E40" s="4"/>
      <c r="F40" s="4"/>
      <c r="G40" s="4"/>
      <c r="H40" s="4"/>
    </row>
    <row r="41" spans="1:8">
      <c r="A41" s="4"/>
      <c r="B41" s="4"/>
      <c r="C41" s="4"/>
      <c r="D41" s="4"/>
      <c r="E41" s="4"/>
      <c r="F41" s="4"/>
      <c r="G41" s="4"/>
      <c r="H41" s="4"/>
    </row>
  </sheetData>
  <mergeCells count="4">
    <mergeCell ref="A1:H1"/>
    <mergeCell ref="A2:H2"/>
    <mergeCell ref="A16:B16"/>
    <mergeCell ref="A3:H15"/>
  </mergeCells>
  <dataValidations count="1">
    <dataValidation type="list" allowBlank="1" showInputMessage="1" showErrorMessage="1" sqref="C16">
      <formula1>"Ton,Mpa,Psi,Bar,KN"</formula1>
    </dataValidation>
  </dataValidations>
  <pageMargins left="0.7" right="0.7" top="0.75" bottom="0.75" header="0.3" footer="0.3"/>
  <pageSetup paperSize="9" scale="71"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5"/>
  <sheetViews>
    <sheetView zoomScale="55" zoomScaleNormal="55" topLeftCell="A4" workbookViewId="0">
      <selection activeCell="Q8" sqref="Q8:S8"/>
    </sheetView>
  </sheetViews>
  <sheetFormatPr defaultColWidth="9" defaultRowHeight="17.6"/>
  <cols>
    <col min="1" max="1" width="5.5" style="10" customWidth="1"/>
    <col min="2" max="2" width="18.25" style="10" customWidth="1"/>
    <col min="3" max="8" width="14.75" style="10" customWidth="1"/>
    <col min="9" max="9" width="17.5" style="10" customWidth="1"/>
    <col min="10" max="10" width="20.875" style="10" customWidth="1"/>
    <col min="11" max="11" width="20.75" style="10" customWidth="1"/>
    <col min="12" max="12" width="15.25" style="10" customWidth="1"/>
    <col min="13" max="13" width="17.75" style="10" customWidth="1"/>
    <col min="14" max="14" width="16.25" style="10" customWidth="1"/>
    <col min="15" max="15" width="16" style="10" customWidth="1"/>
    <col min="16" max="16" width="18.625" style="10" customWidth="1"/>
    <col min="17" max="17" width="16.25" style="10" customWidth="1"/>
    <col min="18" max="19" width="13.5" style="10" customWidth="1"/>
    <col min="20" max="16384" width="9" style="10"/>
  </cols>
  <sheetData>
    <row r="1" ht="88.9" customHeight="1" spans="1:19">
      <c r="A1" s="11" t="s">
        <v>253</v>
      </c>
      <c r="B1" s="11"/>
      <c r="C1" s="11"/>
      <c r="D1" s="11"/>
      <c r="E1" s="11"/>
      <c r="F1" s="11"/>
      <c r="G1" s="11"/>
      <c r="H1" s="11"/>
      <c r="I1" s="11"/>
      <c r="J1" s="11"/>
      <c r="K1" s="11"/>
      <c r="L1" s="11"/>
      <c r="M1" s="11"/>
      <c r="N1" s="11"/>
      <c r="O1" s="11"/>
      <c r="P1" s="11"/>
      <c r="Q1" s="11"/>
      <c r="R1" s="11"/>
      <c r="S1" s="11"/>
    </row>
    <row r="2" ht="60" customHeight="1" spans="1:19">
      <c r="A2" s="12" t="s">
        <v>254</v>
      </c>
      <c r="B2" s="12"/>
      <c r="C2" s="12"/>
      <c r="D2" s="355" t="str">
        <f>'MILScientific Injection Molding'!B4</f>
        <v>018467001</v>
      </c>
      <c r="E2" s="12"/>
      <c r="F2" s="12"/>
      <c r="G2" s="12" t="s">
        <v>255</v>
      </c>
      <c r="H2" s="12"/>
      <c r="I2" s="12"/>
      <c r="J2" s="12"/>
      <c r="K2" s="12"/>
      <c r="L2" s="12"/>
      <c r="M2" s="13" t="s">
        <v>256</v>
      </c>
      <c r="N2" s="12"/>
      <c r="O2" s="12"/>
      <c r="P2" s="12"/>
      <c r="Q2" s="14" t="s">
        <v>257</v>
      </c>
      <c r="R2" s="15" t="s">
        <v>258</v>
      </c>
      <c r="S2" s="15"/>
    </row>
    <row r="3" ht="60" customHeight="1" spans="1:19">
      <c r="A3" s="16" t="s">
        <v>259</v>
      </c>
      <c r="B3" s="17" t="s">
        <v>260</v>
      </c>
      <c r="C3" s="18"/>
      <c r="D3" s="19"/>
      <c r="E3" s="19"/>
      <c r="F3" s="20"/>
      <c r="G3" s="17" t="s">
        <v>261</v>
      </c>
      <c r="H3" s="18"/>
      <c r="I3" s="19"/>
      <c r="J3" s="19"/>
      <c r="K3" s="19"/>
      <c r="L3" s="20"/>
      <c r="M3" s="17" t="s">
        <v>262</v>
      </c>
      <c r="N3" s="17" t="str">
        <f>'MILScientific Injection Molding'!B9</f>
        <v>TG34724342-07</v>
      </c>
      <c r="O3" s="17"/>
      <c r="P3" s="17"/>
      <c r="Q3" s="17"/>
      <c r="R3" s="17"/>
      <c r="S3" s="17"/>
    </row>
    <row r="4" ht="63.6" customHeight="1" spans="1:19">
      <c r="A4" s="16"/>
      <c r="B4" s="17" t="s">
        <v>263</v>
      </c>
      <c r="C4" s="18" t="str">
        <f>'MILScientific Injection Molding'!B19</f>
        <v>YIZUMI</v>
      </c>
      <c r="D4" s="20"/>
      <c r="E4" s="17" t="s">
        <v>264</v>
      </c>
      <c r="F4" s="21" t="str">
        <f>'MILScientific Injection Molding'!C19</f>
        <v>油压机</v>
      </c>
      <c r="G4" s="17" t="s">
        <v>265</v>
      </c>
      <c r="H4" s="21">
        <f>'MILScientific Injection Molding'!D19</f>
        <v>260</v>
      </c>
      <c r="I4" s="22" t="s">
        <v>266</v>
      </c>
      <c r="J4" s="23"/>
      <c r="K4" s="21">
        <f>'MILScientific Injection Molding'!E19</f>
        <v>53</v>
      </c>
      <c r="L4" s="21"/>
      <c r="M4" s="24" t="s">
        <v>267</v>
      </c>
      <c r="N4" s="25">
        <f>'MILScientific Injection Molding'!F19</f>
        <v>217.1</v>
      </c>
      <c r="O4" s="25" t="s">
        <v>268</v>
      </c>
      <c r="P4" s="26" t="s">
        <v>269</v>
      </c>
      <c r="Q4" s="27" t="s">
        <v>270</v>
      </c>
      <c r="R4" s="27">
        <f>'MILScientific Injection Molding'!I19</f>
        <v>79</v>
      </c>
      <c r="S4" s="28" t="s">
        <v>271</v>
      </c>
    </row>
    <row r="5" ht="63.6" customHeight="1" spans="1:19">
      <c r="A5" s="16"/>
      <c r="B5" s="17" t="s">
        <v>272</v>
      </c>
      <c r="C5" s="18" t="str">
        <f>'MILScientific Injection Molding'!B13</f>
        <v>PA6 260G6 RE310</v>
      </c>
      <c r="D5" s="20"/>
      <c r="E5" s="17" t="s">
        <v>273</v>
      </c>
      <c r="F5" s="29" t="str">
        <f>'MILScientific Injection Molding'!F13</f>
        <v>RED</v>
      </c>
      <c r="G5" s="30" t="s">
        <v>274</v>
      </c>
      <c r="H5" s="30"/>
      <c r="I5" s="22" t="s">
        <v>275</v>
      </c>
      <c r="J5" s="31"/>
      <c r="K5" s="17" t="s">
        <v>276</v>
      </c>
      <c r="L5" s="32"/>
      <c r="M5" s="24" t="s">
        <v>277</v>
      </c>
      <c r="N5" s="25">
        <f>'MILScientific Injection Molding'!G19</f>
        <v>175</v>
      </c>
      <c r="O5" s="25" t="s">
        <v>278</v>
      </c>
      <c r="P5" s="33">
        <f>N4*10/N5</f>
        <v>12.4057142857143</v>
      </c>
      <c r="Q5" s="34"/>
      <c r="R5" s="34"/>
      <c r="S5" s="35"/>
    </row>
    <row r="6" ht="60" customHeight="1" spans="1:19">
      <c r="A6" s="16"/>
      <c r="B6" s="22" t="s">
        <v>279</v>
      </c>
      <c r="C6" s="23"/>
      <c r="D6" s="17"/>
      <c r="E6" s="17"/>
      <c r="F6" s="17"/>
      <c r="G6" s="17" t="s">
        <v>280</v>
      </c>
      <c r="H6" s="17" t="str">
        <f>'MILScientific Injection Molding'!H9</f>
        <v>1+1</v>
      </c>
      <c r="I6" s="17" t="s">
        <v>281</v>
      </c>
      <c r="J6" s="17"/>
      <c r="K6" s="17" t="s">
        <v>282</v>
      </c>
      <c r="L6" s="36"/>
      <c r="M6" s="17" t="s">
        <v>283</v>
      </c>
      <c r="N6" s="37"/>
      <c r="O6" s="17" t="s">
        <v>284</v>
      </c>
      <c r="P6" s="17"/>
      <c r="Q6" s="38" t="s">
        <v>285</v>
      </c>
      <c r="R6" s="38"/>
      <c r="S6" s="38" t="s">
        <v>278</v>
      </c>
    </row>
    <row r="7" ht="60" customHeight="1" spans="1:19">
      <c r="A7" s="16"/>
      <c r="B7" s="18" t="s">
        <v>286</v>
      </c>
      <c r="C7" s="20"/>
      <c r="D7" s="18"/>
      <c r="E7" s="19"/>
      <c r="F7" s="19"/>
      <c r="G7" s="19"/>
      <c r="H7" s="19"/>
      <c r="I7" s="19"/>
      <c r="J7" s="19"/>
      <c r="K7" s="19"/>
      <c r="L7" s="19"/>
      <c r="M7" s="19"/>
      <c r="N7" s="19"/>
      <c r="O7" s="19"/>
      <c r="P7" s="20"/>
      <c r="Q7" s="38"/>
      <c r="R7" s="38"/>
      <c r="S7" s="38" t="s">
        <v>287</v>
      </c>
    </row>
    <row r="8" ht="60" customHeight="1" spans="1:19">
      <c r="A8" s="39" t="s">
        <v>288</v>
      </c>
      <c r="B8" s="18" t="s">
        <v>289</v>
      </c>
      <c r="C8" s="20"/>
      <c r="D8" s="17" t="s">
        <v>290</v>
      </c>
      <c r="E8" s="40">
        <f>'温度设置 Set Temp'!I6</f>
        <v>255</v>
      </c>
      <c r="F8" s="40"/>
      <c r="G8" s="17" t="s">
        <v>291</v>
      </c>
      <c r="H8" s="40">
        <f>'温度设置 Set Temp'!K6</f>
        <v>265</v>
      </c>
      <c r="I8" s="40" t="s">
        <v>292</v>
      </c>
      <c r="J8" s="17" t="s">
        <v>293</v>
      </c>
      <c r="K8" s="40">
        <f>'温度设置 Set Temp'!M6</f>
        <v>265</v>
      </c>
      <c r="L8" s="40" t="s">
        <v>292</v>
      </c>
      <c r="M8" s="17" t="s">
        <v>294</v>
      </c>
      <c r="N8" s="40">
        <f>'温度设置 Set Temp'!N6</f>
        <v>261</v>
      </c>
      <c r="O8" s="40"/>
      <c r="P8" s="17" t="s">
        <v>295</v>
      </c>
      <c r="Q8" s="40">
        <f>'温度设置 Set Temp'!O6</f>
        <v>255</v>
      </c>
      <c r="R8" s="40"/>
      <c r="S8" s="40"/>
    </row>
    <row r="9" ht="53.45" customHeight="1" spans="1:19">
      <c r="A9" s="39"/>
      <c r="B9" s="41" t="s">
        <v>296</v>
      </c>
      <c r="C9" s="42"/>
      <c r="D9" s="43" t="s">
        <v>297</v>
      </c>
      <c r="E9" s="43" t="s">
        <v>298</v>
      </c>
      <c r="F9" s="43" t="s">
        <v>299</v>
      </c>
      <c r="G9" s="43" t="s">
        <v>300</v>
      </c>
      <c r="H9" s="43" t="s">
        <v>301</v>
      </c>
      <c r="I9" s="44" t="s">
        <v>302</v>
      </c>
      <c r="J9" s="45" t="s">
        <v>303</v>
      </c>
      <c r="K9" s="46" t="s">
        <v>304</v>
      </c>
      <c r="L9" s="47"/>
      <c r="M9" s="48" t="s">
        <v>297</v>
      </c>
      <c r="N9" s="48" t="s">
        <v>298</v>
      </c>
      <c r="O9" s="48" t="s">
        <v>299</v>
      </c>
      <c r="P9" s="48" t="s">
        <v>300</v>
      </c>
      <c r="Q9" s="48" t="s">
        <v>301</v>
      </c>
      <c r="R9" s="46" t="s">
        <v>305</v>
      </c>
      <c r="S9" s="49"/>
    </row>
    <row r="10" ht="53.45" customHeight="1" spans="1:19">
      <c r="A10" s="39"/>
      <c r="B10" s="43" t="s">
        <v>306</v>
      </c>
      <c r="C10" s="50" t="s">
        <v>278</v>
      </c>
      <c r="D10" s="51"/>
      <c r="E10" s="51"/>
      <c r="F10" s="51"/>
      <c r="G10" s="51"/>
      <c r="H10" s="51"/>
      <c r="I10" s="43"/>
      <c r="J10" s="52"/>
      <c r="K10" s="48" t="s">
        <v>307</v>
      </c>
      <c r="L10" s="53" t="s">
        <v>278</v>
      </c>
      <c r="M10" s="54">
        <v>40</v>
      </c>
      <c r="N10" s="54">
        <v>70</v>
      </c>
      <c r="O10" s="54"/>
      <c r="P10" s="54"/>
      <c r="Q10" s="54"/>
      <c r="R10" s="55">
        <f>L14+M14+N14+O14+P14+Q14</f>
        <v>10</v>
      </c>
      <c r="S10" s="56"/>
    </row>
    <row r="11" ht="53.45" customHeight="1" spans="1:19">
      <c r="A11" s="39"/>
      <c r="B11" s="57"/>
      <c r="C11" s="50" t="s">
        <v>268</v>
      </c>
      <c r="D11" s="51"/>
      <c r="E11" s="51"/>
      <c r="F11" s="51"/>
      <c r="G11" s="51"/>
      <c r="H11" s="51"/>
      <c r="I11" s="58"/>
      <c r="J11" s="59"/>
      <c r="K11" s="60"/>
      <c r="L11" s="53" t="s">
        <v>268</v>
      </c>
      <c r="M11" s="54"/>
      <c r="N11" s="54"/>
      <c r="O11" s="54"/>
      <c r="P11" s="54"/>
      <c r="Q11" s="54"/>
      <c r="R11" s="61"/>
      <c r="S11" s="62"/>
    </row>
    <row r="12" ht="53.45" customHeight="1" spans="1:19">
      <c r="A12" s="39"/>
      <c r="B12" s="43" t="s">
        <v>308</v>
      </c>
      <c r="C12" s="50" t="s">
        <v>309</v>
      </c>
      <c r="D12" s="51"/>
      <c r="E12" s="63"/>
      <c r="F12" s="63"/>
      <c r="G12" s="51"/>
      <c r="H12" s="51"/>
      <c r="I12" s="58"/>
      <c r="J12" s="45" t="s">
        <v>310</v>
      </c>
      <c r="K12" s="48" t="s">
        <v>311</v>
      </c>
      <c r="L12" s="53" t="s">
        <v>309</v>
      </c>
      <c r="M12" s="54">
        <v>3</v>
      </c>
      <c r="N12" s="54">
        <v>4</v>
      </c>
      <c r="O12" s="54"/>
      <c r="P12" s="54"/>
      <c r="Q12" s="54"/>
      <c r="R12" s="61"/>
      <c r="S12" s="62"/>
    </row>
    <row r="13" ht="53.45" customHeight="1" spans="1:19">
      <c r="A13" s="39"/>
      <c r="B13" s="57"/>
      <c r="C13" s="50" t="s">
        <v>312</v>
      </c>
      <c r="D13" s="51"/>
      <c r="E13" s="51"/>
      <c r="F13" s="51"/>
      <c r="G13" s="51"/>
      <c r="H13" s="51"/>
      <c r="I13" s="58"/>
      <c r="J13" s="64"/>
      <c r="K13" s="60"/>
      <c r="L13" s="53" t="s">
        <v>312</v>
      </c>
      <c r="M13" s="54"/>
      <c r="N13" s="54"/>
      <c r="O13" s="54"/>
      <c r="P13" s="54"/>
      <c r="Q13" s="54"/>
      <c r="R13" s="61"/>
      <c r="S13" s="62"/>
    </row>
    <row r="14" ht="53.45" customHeight="1" spans="1:19">
      <c r="A14" s="39"/>
      <c r="B14" s="41" t="s">
        <v>313</v>
      </c>
      <c r="C14" s="42"/>
      <c r="D14" s="50"/>
      <c r="E14" s="65"/>
      <c r="F14" s="65"/>
      <c r="G14" s="50"/>
      <c r="H14" s="65"/>
      <c r="I14" s="57"/>
      <c r="J14" s="59"/>
      <c r="K14" s="46" t="s">
        <v>314</v>
      </c>
      <c r="L14" s="54"/>
      <c r="M14" s="54">
        <v>1</v>
      </c>
      <c r="N14" s="54">
        <v>9</v>
      </c>
      <c r="O14" s="54"/>
      <c r="P14" s="54"/>
      <c r="Q14" s="54"/>
      <c r="R14" s="66"/>
      <c r="S14" s="67"/>
    </row>
    <row r="15" ht="53.45" customHeight="1" spans="1:19">
      <c r="A15" s="39"/>
      <c r="B15" s="27" t="s">
        <v>315</v>
      </c>
      <c r="C15" s="25" t="s">
        <v>166</v>
      </c>
      <c r="D15" s="68"/>
      <c r="E15" s="25" t="s">
        <v>316</v>
      </c>
      <c r="F15" s="25" t="s">
        <v>309</v>
      </c>
      <c r="G15" s="25"/>
      <c r="H15" s="25" t="s">
        <v>317</v>
      </c>
      <c r="I15" s="25" t="s">
        <v>278</v>
      </c>
      <c r="J15" s="68"/>
      <c r="K15" s="25" t="s">
        <v>318</v>
      </c>
      <c r="L15" s="25">
        <v>150</v>
      </c>
      <c r="M15" s="27" t="s">
        <v>164</v>
      </c>
      <c r="N15" s="25" t="s">
        <v>319</v>
      </c>
      <c r="O15" s="25"/>
      <c r="P15" s="27" t="s">
        <v>164</v>
      </c>
      <c r="Q15" s="25" t="s">
        <v>320</v>
      </c>
      <c r="R15" s="27"/>
      <c r="S15" s="25" t="s">
        <v>164</v>
      </c>
    </row>
    <row r="16" ht="53.45" customHeight="1" spans="1:19">
      <c r="A16" s="39"/>
      <c r="B16" s="34"/>
      <c r="C16" s="25" t="s">
        <v>268</v>
      </c>
      <c r="D16" s="68"/>
      <c r="E16" s="25"/>
      <c r="F16" s="25" t="s">
        <v>312</v>
      </c>
      <c r="G16" s="25"/>
      <c r="H16" s="25"/>
      <c r="I16" s="25" t="s">
        <v>268</v>
      </c>
      <c r="J16" s="68"/>
      <c r="K16" s="25"/>
      <c r="L16" s="25"/>
      <c r="M16" s="34"/>
      <c r="N16" s="25"/>
      <c r="O16" s="25"/>
      <c r="P16" s="34"/>
      <c r="Q16" s="25"/>
      <c r="R16" s="34"/>
      <c r="S16" s="25"/>
    </row>
    <row r="17" ht="53.45" customHeight="1" spans="1:20">
      <c r="A17" s="39"/>
      <c r="B17" s="69" t="s">
        <v>321</v>
      </c>
      <c r="C17" s="69" t="s">
        <v>322</v>
      </c>
      <c r="D17" s="69"/>
      <c r="E17" s="70" t="s">
        <v>292</v>
      </c>
      <c r="F17" s="71" t="s">
        <v>323</v>
      </c>
      <c r="G17" s="71"/>
      <c r="H17" s="71"/>
      <c r="I17" s="71"/>
      <c r="J17" s="70" t="s">
        <v>292</v>
      </c>
      <c r="K17" s="72">
        <v>140</v>
      </c>
      <c r="L17" s="73"/>
      <c r="M17" s="73"/>
      <c r="N17" s="74"/>
      <c r="O17" s="70" t="s">
        <v>292</v>
      </c>
      <c r="P17" s="69"/>
      <c r="Q17" s="69"/>
      <c r="R17" s="69"/>
      <c r="S17" s="69"/>
    </row>
    <row r="18" ht="53.45" customHeight="1" spans="1:20">
      <c r="A18" s="39"/>
      <c r="B18" s="69"/>
      <c r="C18" s="69"/>
      <c r="D18" s="69"/>
      <c r="E18" s="70" t="s">
        <v>292</v>
      </c>
      <c r="F18" s="69"/>
      <c r="G18" s="69"/>
      <c r="H18" s="69"/>
      <c r="I18" s="69"/>
      <c r="J18" s="70" t="s">
        <v>292</v>
      </c>
      <c r="K18" s="69"/>
      <c r="L18" s="69"/>
      <c r="M18" s="69"/>
      <c r="N18" s="69"/>
      <c r="O18" s="70" t="s">
        <v>292</v>
      </c>
      <c r="P18" s="69"/>
      <c r="Q18" s="69"/>
      <c r="R18" s="69"/>
      <c r="S18" s="69"/>
    </row>
    <row r="19" ht="53.45" customHeight="1" spans="1:20">
      <c r="A19" s="39"/>
      <c r="B19" s="69"/>
      <c r="C19" s="69"/>
      <c r="D19" s="69"/>
      <c r="E19" s="70" t="s">
        <v>292</v>
      </c>
      <c r="F19" s="69"/>
      <c r="G19" s="69"/>
      <c r="H19" s="69"/>
      <c r="I19" s="69"/>
      <c r="J19" s="70" t="s">
        <v>292</v>
      </c>
      <c r="K19" s="69"/>
      <c r="L19" s="69"/>
      <c r="M19" s="69"/>
      <c r="N19" s="69"/>
      <c r="O19" s="70" t="s">
        <v>292</v>
      </c>
      <c r="P19" s="69"/>
      <c r="Q19" s="69"/>
      <c r="R19" s="69"/>
      <c r="S19" s="69"/>
    </row>
    <row r="20" ht="53.45" customHeight="1" spans="1:20">
      <c r="A20" s="39"/>
      <c r="B20" s="69"/>
      <c r="C20" s="75" t="s">
        <v>324</v>
      </c>
      <c r="D20" s="76"/>
      <c r="E20" s="70" t="s">
        <v>292</v>
      </c>
      <c r="F20" s="69"/>
      <c r="G20" s="69"/>
      <c r="H20" s="69"/>
      <c r="I20" s="69"/>
      <c r="J20" s="70" t="s">
        <v>292</v>
      </c>
      <c r="K20" s="69"/>
      <c r="L20" s="69"/>
      <c r="M20" s="69"/>
      <c r="N20" s="69"/>
      <c r="O20" s="70" t="s">
        <v>292</v>
      </c>
      <c r="P20" s="69"/>
      <c r="Q20" s="69"/>
      <c r="R20" s="69"/>
      <c r="S20" s="69"/>
    </row>
    <row r="21" ht="53.45" customHeight="1" spans="1:20">
      <c r="A21" s="39"/>
      <c r="B21" s="69"/>
      <c r="C21" s="77"/>
      <c r="D21" s="78"/>
      <c r="E21" s="70" t="s">
        <v>292</v>
      </c>
      <c r="F21" s="69"/>
      <c r="G21" s="69"/>
      <c r="H21" s="69"/>
      <c r="I21" s="69"/>
      <c r="J21" s="70" t="s">
        <v>292</v>
      </c>
      <c r="K21" s="69"/>
      <c r="L21" s="69"/>
      <c r="M21" s="69"/>
      <c r="N21" s="69"/>
      <c r="O21" s="70" t="s">
        <v>292</v>
      </c>
      <c r="P21" s="69"/>
      <c r="Q21" s="69"/>
      <c r="R21" s="69"/>
      <c r="S21" s="69"/>
    </row>
    <row r="22" ht="53.45" customHeight="1" spans="1:20">
      <c r="A22" s="39"/>
      <c r="B22" s="69"/>
      <c r="C22" s="79"/>
      <c r="D22" s="80"/>
      <c r="E22" s="70" t="s">
        <v>292</v>
      </c>
      <c r="F22" s="69"/>
      <c r="G22" s="69"/>
      <c r="H22" s="69"/>
      <c r="I22" s="69"/>
      <c r="J22" s="70" t="s">
        <v>292</v>
      </c>
      <c r="K22" s="69"/>
      <c r="L22" s="69"/>
      <c r="M22" s="69"/>
      <c r="N22" s="69"/>
      <c r="O22" s="70" t="s">
        <v>292</v>
      </c>
      <c r="P22" s="69"/>
      <c r="Q22" s="69"/>
      <c r="R22" s="69"/>
      <c r="S22" s="69"/>
    </row>
    <row r="23" ht="48" customHeight="1" spans="1:20">
      <c r="A23" s="39"/>
      <c r="B23" s="81" t="s">
        <v>325</v>
      </c>
      <c r="C23" s="82" t="s">
        <v>326</v>
      </c>
      <c r="D23" s="82" t="s">
        <v>327</v>
      </c>
      <c r="E23" s="83" t="s">
        <v>328</v>
      </c>
      <c r="F23" s="82" t="s">
        <v>326</v>
      </c>
      <c r="G23" s="82" t="s">
        <v>327</v>
      </c>
      <c r="H23" s="83" t="s">
        <v>329</v>
      </c>
      <c r="I23" s="82" t="s">
        <v>326</v>
      </c>
      <c r="J23" s="82" t="s">
        <v>327</v>
      </c>
      <c r="K23" s="17" t="s">
        <v>330</v>
      </c>
      <c r="L23" s="82" t="s">
        <v>326</v>
      </c>
      <c r="M23" s="82" t="s">
        <v>327</v>
      </c>
      <c r="N23" s="84" t="s">
        <v>331</v>
      </c>
      <c r="O23" s="85"/>
      <c r="P23" s="86"/>
      <c r="Q23" s="84" t="s">
        <v>332</v>
      </c>
      <c r="R23" s="85"/>
      <c r="S23" s="86"/>
    </row>
    <row r="24" ht="48" customHeight="1" spans="1:20">
      <c r="A24" s="39"/>
      <c r="B24" s="87"/>
      <c r="C24" s="88"/>
      <c r="D24" s="88"/>
      <c r="E24" s="83"/>
      <c r="F24" s="88"/>
      <c r="G24" s="83"/>
      <c r="H24" s="83"/>
      <c r="I24" s="88"/>
      <c r="J24" s="88"/>
      <c r="K24" s="17"/>
      <c r="L24" s="88"/>
      <c r="M24" s="88"/>
      <c r="N24" s="89"/>
      <c r="O24" s="90"/>
      <c r="P24" s="91"/>
      <c r="Q24" s="89"/>
      <c r="R24" s="90"/>
      <c r="S24" s="91"/>
      <c r="T24" s="10" t="s">
        <v>333</v>
      </c>
    </row>
    <row r="25" ht="60" customHeight="1" spans="1:20">
      <c r="A25" s="39"/>
      <c r="B25" s="92" t="s">
        <v>334</v>
      </c>
      <c r="C25" s="93"/>
      <c r="D25" s="17" t="s">
        <v>335</v>
      </c>
      <c r="E25" s="17"/>
      <c r="F25" s="17" t="s">
        <v>336</v>
      </c>
      <c r="G25" s="17"/>
      <c r="H25" s="17" t="s">
        <v>337</v>
      </c>
      <c r="I25" s="17"/>
      <c r="J25" s="17" t="s">
        <v>338</v>
      </c>
      <c r="K25" s="17"/>
      <c r="L25" s="17" t="s">
        <v>339</v>
      </c>
      <c r="M25" s="17"/>
      <c r="N25" s="17" t="s">
        <v>340</v>
      </c>
      <c r="O25" s="17"/>
      <c r="P25" s="17" t="s">
        <v>341</v>
      </c>
      <c r="Q25" s="17"/>
      <c r="R25" s="17" t="s">
        <v>342</v>
      </c>
      <c r="S25" s="17"/>
    </row>
    <row r="26" ht="60" customHeight="1" spans="1:20">
      <c r="A26" s="39"/>
      <c r="B26" s="94"/>
      <c r="C26" s="95"/>
      <c r="D26" s="17"/>
      <c r="E26" s="17"/>
      <c r="F26" s="17"/>
      <c r="G26" s="17"/>
      <c r="H26" s="17"/>
      <c r="I26" s="17"/>
      <c r="J26" s="17"/>
      <c r="K26" s="17"/>
      <c r="L26" s="17"/>
      <c r="M26" s="17"/>
      <c r="N26" s="17"/>
      <c r="O26" s="17"/>
      <c r="P26" s="17"/>
      <c r="Q26" s="17"/>
      <c r="R26" s="17"/>
      <c r="S26" s="17"/>
    </row>
    <row r="27" ht="60" customHeight="1" spans="1:20">
      <c r="A27" s="39"/>
      <c r="B27" s="92" t="s">
        <v>343</v>
      </c>
      <c r="C27" s="93"/>
      <c r="D27" s="17" t="s">
        <v>344</v>
      </c>
      <c r="E27" s="17" t="s">
        <v>345</v>
      </c>
      <c r="F27" s="17" t="s">
        <v>344</v>
      </c>
      <c r="G27" s="17" t="s">
        <v>345</v>
      </c>
      <c r="H27" s="17" t="s">
        <v>344</v>
      </c>
      <c r="I27" s="17" t="s">
        <v>345</v>
      </c>
      <c r="J27" s="17" t="s">
        <v>344</v>
      </c>
      <c r="K27" s="17" t="s">
        <v>345</v>
      </c>
      <c r="L27" s="17" t="s">
        <v>344</v>
      </c>
      <c r="M27" s="17" t="s">
        <v>345</v>
      </c>
      <c r="N27" s="17" t="s">
        <v>344</v>
      </c>
      <c r="O27" s="17" t="s">
        <v>345</v>
      </c>
      <c r="P27" s="17" t="s">
        <v>344</v>
      </c>
      <c r="Q27" s="17" t="s">
        <v>345</v>
      </c>
      <c r="R27" s="17" t="s">
        <v>344</v>
      </c>
      <c r="S27" s="17" t="s">
        <v>345</v>
      </c>
    </row>
    <row r="28" ht="60" customHeight="1" spans="1:20">
      <c r="A28" s="39"/>
      <c r="B28" s="94"/>
      <c r="C28" s="95"/>
      <c r="D28" s="17"/>
      <c r="E28" s="17"/>
      <c r="F28" s="17"/>
      <c r="G28" s="17"/>
      <c r="H28" s="17"/>
      <c r="I28" s="17"/>
      <c r="J28" s="17"/>
      <c r="K28" s="17"/>
      <c r="L28" s="17"/>
      <c r="M28" s="17"/>
      <c r="N28" s="17"/>
      <c r="O28" s="17"/>
      <c r="P28" s="17"/>
      <c r="Q28" s="17"/>
      <c r="R28" s="17"/>
      <c r="S28" s="17"/>
    </row>
    <row r="29" ht="60" customHeight="1" spans="1:20">
      <c r="A29" s="39"/>
      <c r="B29" s="18" t="s">
        <v>346</v>
      </c>
      <c r="C29" s="20"/>
      <c r="D29" s="17" t="s">
        <v>347</v>
      </c>
      <c r="E29" s="17"/>
      <c r="F29" s="17" t="s">
        <v>348</v>
      </c>
      <c r="G29" s="17"/>
      <c r="H29" s="17" t="s">
        <v>349</v>
      </c>
      <c r="I29" s="17"/>
      <c r="J29" s="17"/>
      <c r="K29" s="17" t="s">
        <v>350</v>
      </c>
      <c r="L29" s="18"/>
      <c r="M29" s="20"/>
      <c r="N29" s="17" t="s">
        <v>351</v>
      </c>
      <c r="O29" s="18"/>
      <c r="P29" s="19"/>
      <c r="Q29" s="19"/>
      <c r="R29" s="19"/>
      <c r="S29" s="20"/>
    </row>
    <row r="30" ht="60" customHeight="1" spans="1:20">
      <c r="A30" s="96" t="s">
        <v>352</v>
      </c>
      <c r="B30" s="18" t="s">
        <v>353</v>
      </c>
      <c r="C30" s="20"/>
      <c r="D30" s="18"/>
      <c r="E30" s="19"/>
      <c r="F30" s="19"/>
      <c r="G30" s="20"/>
      <c r="H30" s="17" t="s">
        <v>354</v>
      </c>
      <c r="I30" s="22"/>
      <c r="J30" s="23"/>
      <c r="K30" s="97"/>
      <c r="L30" s="17" t="s">
        <v>355</v>
      </c>
      <c r="M30" s="22"/>
      <c r="N30" s="23"/>
      <c r="O30" s="97"/>
      <c r="P30" s="17" t="s">
        <v>356</v>
      </c>
      <c r="Q30" s="18"/>
      <c r="R30" s="19"/>
      <c r="S30" s="20"/>
    </row>
    <row r="31" ht="60" customHeight="1" spans="1:20">
      <c r="A31" s="96"/>
      <c r="B31" s="92" t="s">
        <v>357</v>
      </c>
      <c r="C31" s="93"/>
      <c r="D31" s="17" t="s">
        <v>358</v>
      </c>
      <c r="E31" s="18"/>
      <c r="F31" s="19"/>
      <c r="G31" s="20"/>
      <c r="H31" s="17" t="s">
        <v>359</v>
      </c>
      <c r="I31" s="22"/>
      <c r="J31" s="23"/>
      <c r="K31" s="97"/>
      <c r="L31" s="17" t="s">
        <v>360</v>
      </c>
      <c r="M31" s="22"/>
      <c r="N31" s="23"/>
      <c r="O31" s="97"/>
      <c r="P31" s="17" t="s">
        <v>361</v>
      </c>
      <c r="Q31" s="18"/>
      <c r="R31" s="19"/>
      <c r="S31" s="20"/>
    </row>
    <row r="32" ht="60" customHeight="1" spans="1:20">
      <c r="A32" s="96"/>
      <c r="B32" s="98"/>
      <c r="C32" s="99"/>
      <c r="D32" s="17" t="s">
        <v>362</v>
      </c>
      <c r="E32" s="18"/>
      <c r="F32" s="19"/>
      <c r="G32" s="20"/>
      <c r="H32" s="17" t="s">
        <v>363</v>
      </c>
      <c r="I32" s="22"/>
      <c r="J32" s="23"/>
      <c r="K32" s="97"/>
      <c r="L32" s="17" t="s">
        <v>364</v>
      </c>
      <c r="M32" s="22"/>
      <c r="N32" s="23"/>
      <c r="O32" s="97"/>
      <c r="P32" s="17" t="s">
        <v>365</v>
      </c>
      <c r="Q32" s="18"/>
      <c r="R32" s="19"/>
      <c r="S32" s="20"/>
    </row>
    <row r="33" ht="60" customHeight="1" spans="1:19">
      <c r="A33" s="96"/>
      <c r="B33" s="98"/>
      <c r="C33" s="99"/>
      <c r="D33" s="17" t="s">
        <v>366</v>
      </c>
      <c r="E33" s="18"/>
      <c r="F33" s="19"/>
      <c r="G33" s="20"/>
      <c r="H33" s="17" t="s">
        <v>367</v>
      </c>
      <c r="I33" s="22"/>
      <c r="J33" s="23"/>
      <c r="K33" s="97"/>
      <c r="L33" s="17" t="s">
        <v>368</v>
      </c>
      <c r="M33" s="22"/>
      <c r="N33" s="23"/>
      <c r="O33" s="97"/>
      <c r="P33" s="17" t="s">
        <v>369</v>
      </c>
      <c r="Q33" s="18"/>
      <c r="R33" s="19"/>
      <c r="S33" s="20"/>
    </row>
    <row r="34" ht="60" customHeight="1" spans="1:19">
      <c r="A34" s="96"/>
      <c r="B34" s="98"/>
      <c r="C34" s="99"/>
      <c r="D34" s="17" t="s">
        <v>370</v>
      </c>
      <c r="E34" s="18"/>
      <c r="F34" s="19"/>
      <c r="G34" s="20"/>
      <c r="H34" s="17" t="s">
        <v>371</v>
      </c>
      <c r="I34" s="22"/>
      <c r="J34" s="23"/>
      <c r="K34" s="97"/>
      <c r="L34" s="17" t="s">
        <v>372</v>
      </c>
      <c r="M34" s="22"/>
      <c r="N34" s="23"/>
      <c r="O34" s="97"/>
      <c r="P34" s="17" t="s">
        <v>373</v>
      </c>
      <c r="Q34" s="18"/>
      <c r="R34" s="19"/>
      <c r="S34" s="20"/>
    </row>
    <row r="35" ht="60" customHeight="1" spans="1:19">
      <c r="A35" s="96"/>
      <c r="B35" s="94"/>
      <c r="C35" s="95"/>
      <c r="D35" s="17" t="s">
        <v>374</v>
      </c>
      <c r="E35" s="18"/>
      <c r="F35" s="19"/>
      <c r="G35" s="20"/>
      <c r="H35" s="17" t="s">
        <v>375</v>
      </c>
      <c r="I35" s="22"/>
      <c r="J35" s="23"/>
      <c r="K35" s="97"/>
      <c r="L35" s="17" t="s">
        <v>376</v>
      </c>
      <c r="M35" s="22"/>
      <c r="N35" s="23"/>
      <c r="O35" s="97"/>
      <c r="P35" s="17" t="s">
        <v>377</v>
      </c>
      <c r="Q35" s="18"/>
      <c r="R35" s="19"/>
      <c r="S35" s="20"/>
    </row>
    <row r="36" ht="78.6" customHeight="1" spans="1:19">
      <c r="A36" s="96"/>
      <c r="B36" s="18" t="s">
        <v>378</v>
      </c>
      <c r="C36" s="20"/>
      <c r="D36" s="17" t="s">
        <v>379</v>
      </c>
      <c r="E36" s="18"/>
      <c r="F36" s="19"/>
      <c r="G36" s="20"/>
      <c r="H36" s="17" t="s">
        <v>380</v>
      </c>
      <c r="I36" s="22"/>
      <c r="J36" s="23"/>
      <c r="K36" s="97"/>
      <c r="L36" s="17" t="s">
        <v>381</v>
      </c>
      <c r="M36" s="22"/>
      <c r="N36" s="23"/>
      <c r="O36" s="97"/>
      <c r="P36" s="17" t="s">
        <v>382</v>
      </c>
      <c r="Q36" s="18"/>
      <c r="R36" s="19"/>
      <c r="S36" s="20"/>
    </row>
    <row r="37" ht="60" customHeight="1" spans="1:19">
      <c r="A37" s="96"/>
      <c r="B37" s="18" t="s">
        <v>383</v>
      </c>
      <c r="C37" s="20"/>
      <c r="D37" s="18"/>
      <c r="E37" s="19"/>
      <c r="F37" s="19"/>
      <c r="G37" s="19"/>
      <c r="H37" s="19"/>
      <c r="I37" s="19"/>
      <c r="J37" s="19"/>
      <c r="K37" s="19"/>
      <c r="L37" s="19"/>
      <c r="M37" s="19"/>
      <c r="N37" s="19"/>
      <c r="O37" s="19"/>
      <c r="P37" s="19"/>
      <c r="Q37" s="19"/>
      <c r="R37" s="19"/>
      <c r="S37" s="20"/>
    </row>
    <row r="38" ht="60" customHeight="1" spans="1:19">
      <c r="A38" s="100" t="s">
        <v>384</v>
      </c>
      <c r="B38" s="18" t="s">
        <v>385</v>
      </c>
      <c r="C38" s="20"/>
      <c r="D38" s="101" t="s">
        <v>386</v>
      </c>
      <c r="E38" s="18"/>
      <c r="F38" s="19"/>
      <c r="G38" s="19"/>
      <c r="H38" s="20"/>
      <c r="I38" s="102" t="s">
        <v>387</v>
      </c>
      <c r="J38" s="103"/>
      <c r="K38" s="18"/>
      <c r="L38" s="19"/>
      <c r="M38" s="19"/>
      <c r="N38" s="19"/>
      <c r="O38" s="19"/>
      <c r="P38" s="19"/>
      <c r="Q38" s="19"/>
      <c r="R38" s="19"/>
      <c r="S38" s="20"/>
    </row>
    <row r="39" ht="60" customHeight="1" spans="1:19">
      <c r="A39" s="100"/>
      <c r="B39" s="18" t="s">
        <v>388</v>
      </c>
      <c r="C39" s="20"/>
      <c r="D39" s="101" t="s">
        <v>386</v>
      </c>
      <c r="E39" s="18"/>
      <c r="F39" s="19"/>
      <c r="G39" s="19"/>
      <c r="H39" s="20"/>
      <c r="I39" s="102" t="s">
        <v>387</v>
      </c>
      <c r="J39" s="103"/>
      <c r="K39" s="18"/>
      <c r="L39" s="19"/>
      <c r="M39" s="19"/>
      <c r="N39" s="19"/>
      <c r="O39" s="19"/>
      <c r="P39" s="19"/>
      <c r="Q39" s="19"/>
      <c r="R39" s="19"/>
      <c r="S39" s="20"/>
    </row>
    <row r="40" ht="60" customHeight="1" spans="1:19">
      <c r="A40" s="100"/>
      <c r="B40" s="18" t="s">
        <v>389</v>
      </c>
      <c r="C40" s="20"/>
      <c r="D40" s="17"/>
      <c r="E40" s="18"/>
      <c r="F40" s="19"/>
      <c r="G40" s="19"/>
      <c r="H40" s="19"/>
      <c r="I40" s="104"/>
      <c r="J40" s="104"/>
      <c r="K40" s="20"/>
      <c r="L40" s="18" t="s">
        <v>390</v>
      </c>
      <c r="M40" s="20"/>
      <c r="N40" s="18"/>
      <c r="O40" s="20"/>
      <c r="P40" s="17" t="s">
        <v>391</v>
      </c>
      <c r="Q40" s="18"/>
      <c r="R40" s="19"/>
      <c r="S40" s="20"/>
    </row>
    <row r="41" ht="60" customHeight="1" spans="1:19">
      <c r="A41" s="105" t="s">
        <v>392</v>
      </c>
      <c r="B41" s="106"/>
      <c r="C41" s="106"/>
      <c r="D41" s="106"/>
      <c r="E41" s="106"/>
      <c r="F41" s="106"/>
      <c r="G41" s="106"/>
      <c r="H41" s="106"/>
      <c r="I41" s="106"/>
      <c r="J41" s="106"/>
      <c r="K41" s="107"/>
      <c r="L41" s="18" t="s">
        <v>393</v>
      </c>
      <c r="M41" s="20"/>
      <c r="N41" s="18"/>
      <c r="O41" s="20"/>
      <c r="P41" s="17" t="s">
        <v>394</v>
      </c>
      <c r="Q41" s="108"/>
      <c r="R41" s="109"/>
      <c r="S41" s="110"/>
    </row>
    <row r="42" ht="60" customHeight="1" spans="1:19">
      <c r="A42" s="111"/>
      <c r="B42" s="112"/>
      <c r="C42" s="112"/>
      <c r="D42" s="112"/>
      <c r="E42" s="112"/>
      <c r="F42" s="112"/>
      <c r="G42" s="112"/>
      <c r="H42" s="112"/>
      <c r="I42" s="112"/>
      <c r="J42" s="112"/>
      <c r="K42" s="113"/>
      <c r="L42" s="18" t="s">
        <v>395</v>
      </c>
      <c r="M42" s="19"/>
      <c r="N42" s="19"/>
      <c r="O42" s="20"/>
      <c r="P42" s="18" t="s">
        <v>396</v>
      </c>
      <c r="Q42" s="19"/>
      <c r="R42" s="19"/>
      <c r="S42" s="20"/>
    </row>
    <row r="43" ht="60" customHeight="1" spans="1:19">
      <c r="A43" s="111"/>
      <c r="B43" s="112"/>
      <c r="C43" s="112"/>
      <c r="D43" s="112"/>
      <c r="E43" s="112"/>
      <c r="F43" s="112"/>
      <c r="G43" s="112"/>
      <c r="H43" s="112"/>
      <c r="I43" s="112"/>
      <c r="J43" s="112"/>
      <c r="K43" s="113"/>
      <c r="L43" s="114" t="s">
        <v>397</v>
      </c>
      <c r="M43" s="18"/>
      <c r="N43" s="19"/>
      <c r="O43" s="20"/>
      <c r="P43" s="114" t="s">
        <v>397</v>
      </c>
      <c r="Q43" s="18"/>
      <c r="R43" s="19"/>
      <c r="S43" s="20"/>
    </row>
    <row r="44" ht="60" customHeight="1" spans="1:19">
      <c r="A44" s="115"/>
      <c r="B44" s="116"/>
      <c r="C44" s="116"/>
      <c r="D44" s="116"/>
      <c r="E44" s="116"/>
      <c r="F44" s="116"/>
      <c r="G44" s="116"/>
      <c r="H44" s="116"/>
      <c r="I44" s="116"/>
      <c r="J44" s="116"/>
      <c r="K44" s="117"/>
      <c r="L44" s="114" t="s">
        <v>398</v>
      </c>
      <c r="M44" s="18"/>
      <c r="N44" s="19"/>
      <c r="O44" s="20"/>
      <c r="P44" s="118" t="s">
        <v>398</v>
      </c>
      <c r="Q44" s="18"/>
      <c r="R44" s="19"/>
      <c r="S44" s="20"/>
    </row>
    <row r="45" ht="25.5" customHeight="1" spans="1:19">
      <c r="A45" s="119" t="s">
        <v>399</v>
      </c>
      <c r="Q45" s="120" t="s">
        <v>400</v>
      </c>
      <c r="R45" s="120"/>
      <c r="S45" s="120"/>
    </row>
  </sheetData>
  <mergeCells count="162">
    <mergeCell ref="A1:S1"/>
    <mergeCell ref="A2:C2"/>
    <mergeCell ref="D2:F2"/>
    <mergeCell ref="G2:H2"/>
    <mergeCell ref="I2:L2"/>
    <mergeCell ref="N2:P2"/>
    <mergeCell ref="R2:S2"/>
    <mergeCell ref="C3:F3"/>
    <mergeCell ref="H3:L3"/>
    <mergeCell ref="N3:S3"/>
    <mergeCell ref="C4:D4"/>
    <mergeCell ref="I4:J4"/>
    <mergeCell ref="K4:L4"/>
    <mergeCell ref="C5:D5"/>
    <mergeCell ref="B6:C6"/>
    <mergeCell ref="D6:F6"/>
    <mergeCell ref="B7:C7"/>
    <mergeCell ref="D7:P7"/>
    <mergeCell ref="B8:C8"/>
    <mergeCell ref="E8:F8"/>
    <mergeCell ref="H8:I8"/>
    <mergeCell ref="K8:L8"/>
    <mergeCell ref="N8:O8"/>
    <mergeCell ref="Q8:S8"/>
    <mergeCell ref="B9:C9"/>
    <mergeCell ref="K9:L9"/>
    <mergeCell ref="R9:S9"/>
    <mergeCell ref="B14:C14"/>
    <mergeCell ref="F17:I17"/>
    <mergeCell ref="K17:N17"/>
    <mergeCell ref="P17:S17"/>
    <mergeCell ref="F18:I18"/>
    <mergeCell ref="K18:N18"/>
    <mergeCell ref="P18:S18"/>
    <mergeCell ref="F19:I19"/>
    <mergeCell ref="K19:N19"/>
    <mergeCell ref="P19:S19"/>
    <mergeCell ref="F20:I20"/>
    <mergeCell ref="K20:N20"/>
    <mergeCell ref="P20:S20"/>
    <mergeCell ref="F21:I21"/>
    <mergeCell ref="K21:N21"/>
    <mergeCell ref="P21:S21"/>
    <mergeCell ref="F22:I22"/>
    <mergeCell ref="K22:N22"/>
    <mergeCell ref="P22:S22"/>
    <mergeCell ref="D25:E25"/>
    <mergeCell ref="F25:G25"/>
    <mergeCell ref="H25:I25"/>
    <mergeCell ref="J25:K25"/>
    <mergeCell ref="L25:M25"/>
    <mergeCell ref="N25:O25"/>
    <mergeCell ref="P25:Q25"/>
    <mergeCell ref="R25:S25"/>
    <mergeCell ref="D26:E26"/>
    <mergeCell ref="F26:G26"/>
    <mergeCell ref="H26:I26"/>
    <mergeCell ref="J26:K26"/>
    <mergeCell ref="L26:M26"/>
    <mergeCell ref="N26:O26"/>
    <mergeCell ref="P26:Q26"/>
    <mergeCell ref="R26:S26"/>
    <mergeCell ref="B29:C29"/>
    <mergeCell ref="L29:M29"/>
    <mergeCell ref="O29:S29"/>
    <mergeCell ref="B30:C30"/>
    <mergeCell ref="D30:G30"/>
    <mergeCell ref="I30:K30"/>
    <mergeCell ref="M30:O30"/>
    <mergeCell ref="Q30:S30"/>
    <mergeCell ref="E31:G31"/>
    <mergeCell ref="I31:K31"/>
    <mergeCell ref="M31:O31"/>
    <mergeCell ref="Q31:S31"/>
    <mergeCell ref="E32:G32"/>
    <mergeCell ref="I32:K32"/>
    <mergeCell ref="M32:O32"/>
    <mergeCell ref="Q32:S32"/>
    <mergeCell ref="E33:G33"/>
    <mergeCell ref="I33:K33"/>
    <mergeCell ref="M33:O33"/>
    <mergeCell ref="Q33:S33"/>
    <mergeCell ref="E34:G34"/>
    <mergeCell ref="I34:K34"/>
    <mergeCell ref="M34:O34"/>
    <mergeCell ref="Q34:S34"/>
    <mergeCell ref="E35:G35"/>
    <mergeCell ref="I35:K35"/>
    <mergeCell ref="M35:O35"/>
    <mergeCell ref="Q35:S35"/>
    <mergeCell ref="B36:C36"/>
    <mergeCell ref="E36:G36"/>
    <mergeCell ref="I36:K36"/>
    <mergeCell ref="M36:O36"/>
    <mergeCell ref="Q36:S36"/>
    <mergeCell ref="B37:C37"/>
    <mergeCell ref="D37:S37"/>
    <mergeCell ref="B38:C38"/>
    <mergeCell ref="E38:H38"/>
    <mergeCell ref="I38:J38"/>
    <mergeCell ref="K38:S38"/>
    <mergeCell ref="B39:C39"/>
    <mergeCell ref="E39:H39"/>
    <mergeCell ref="I39:J39"/>
    <mergeCell ref="K39:S39"/>
    <mergeCell ref="B40:C40"/>
    <mergeCell ref="E40:K40"/>
    <mergeCell ref="L40:M40"/>
    <mergeCell ref="N40:O40"/>
    <mergeCell ref="Q40:S40"/>
    <mergeCell ref="L41:M41"/>
    <mergeCell ref="N41:O41"/>
    <mergeCell ref="Q41:S41"/>
    <mergeCell ref="L42:O42"/>
    <mergeCell ref="P42:S42"/>
    <mergeCell ref="M43:O43"/>
    <mergeCell ref="Q43:S43"/>
    <mergeCell ref="M44:O44"/>
    <mergeCell ref="Q44:S44"/>
    <mergeCell ref="A3:A7"/>
    <mergeCell ref="A8:A29"/>
    <mergeCell ref="A30:A37"/>
    <mergeCell ref="A38:A40"/>
    <mergeCell ref="B10:B11"/>
    <mergeCell ref="B12:B13"/>
    <mergeCell ref="B15:B16"/>
    <mergeCell ref="B17:B22"/>
    <mergeCell ref="B23:B24"/>
    <mergeCell ref="E15:E16"/>
    <mergeCell ref="E23:E24"/>
    <mergeCell ref="H15:H16"/>
    <mergeCell ref="H23:H24"/>
    <mergeCell ref="I10:I14"/>
    <mergeCell ref="J10:J11"/>
    <mergeCell ref="J13:J14"/>
    <mergeCell ref="K10:K11"/>
    <mergeCell ref="K12:K13"/>
    <mergeCell ref="K15:K16"/>
    <mergeCell ref="K23:K24"/>
    <mergeCell ref="L15:L16"/>
    <mergeCell ref="M15:M16"/>
    <mergeCell ref="N15:N16"/>
    <mergeCell ref="N23:N24"/>
    <mergeCell ref="O15:O16"/>
    <mergeCell ref="P15:P16"/>
    <mergeCell ref="Q4:Q5"/>
    <mergeCell ref="Q6:Q7"/>
    <mergeCell ref="Q15:Q16"/>
    <mergeCell ref="Q23:Q24"/>
    <mergeCell ref="R4:R5"/>
    <mergeCell ref="R15:R16"/>
    <mergeCell ref="S4:S5"/>
    <mergeCell ref="S15:S16"/>
    <mergeCell ref="R10:S14"/>
    <mergeCell ref="C17:D19"/>
    <mergeCell ref="C20:D22"/>
    <mergeCell ref="R23:S24"/>
    <mergeCell ref="B25:C26"/>
    <mergeCell ref="O23:P24"/>
    <mergeCell ref="B27:C28"/>
    <mergeCell ref="B31:C35"/>
    <mergeCell ref="A41:K44"/>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view="pageBreakPreview" zoomScale="85" zoomScaleNormal="100" workbookViewId="0">
      <selection activeCell="A3" sqref="A3:J3"/>
    </sheetView>
  </sheetViews>
  <sheetFormatPr defaultColWidth="9" defaultRowHeight="16.8"/>
  <cols>
    <col min="1" max="10" width="9.625" customWidth="1"/>
  </cols>
  <sheetData>
    <row r="1" ht="31.6" spans="1:10">
      <c r="A1" s="1" t="s">
        <v>401</v>
      </c>
      <c r="B1" s="1"/>
      <c r="C1" s="1"/>
      <c r="D1" s="1"/>
      <c r="E1" s="1"/>
      <c r="F1" s="1"/>
      <c r="G1" s="1"/>
      <c r="H1" s="1"/>
      <c r="I1" s="1"/>
      <c r="J1" s="1"/>
    </row>
    <row r="2" ht="6.6" customHeight="1" spans="1:10">
      <c r="A2" s="2"/>
      <c r="B2" s="2"/>
      <c r="C2" s="2"/>
      <c r="D2" s="2"/>
      <c r="E2" s="2"/>
      <c r="F2" s="2"/>
      <c r="G2" s="2"/>
      <c r="H2" s="2"/>
      <c r="I2" s="2"/>
      <c r="J2" s="2"/>
    </row>
    <row r="3" ht="20.4" spans="1:10">
      <c r="A3" s="3" t="s">
        <v>402</v>
      </c>
      <c r="B3" s="3"/>
      <c r="C3" s="3"/>
      <c r="D3" s="3"/>
      <c r="E3" s="3"/>
      <c r="F3" s="3"/>
      <c r="G3" s="3"/>
      <c r="H3" s="3"/>
      <c r="I3" s="3"/>
      <c r="J3" s="3"/>
    </row>
    <row r="4" spans="1:10">
      <c r="A4" s="4"/>
      <c r="B4" s="4"/>
      <c r="C4" s="4"/>
      <c r="D4" s="4"/>
      <c r="E4" s="4"/>
      <c r="F4" s="4"/>
      <c r="G4" s="4"/>
      <c r="H4" s="4"/>
      <c r="I4" s="4"/>
      <c r="J4" s="4"/>
    </row>
    <row r="5" spans="1:10">
      <c r="A5" s="4"/>
      <c r="B5" s="4"/>
      <c r="C5" s="4"/>
      <c r="D5" s="4"/>
      <c r="E5" s="4"/>
      <c r="F5" s="4"/>
      <c r="G5" s="4"/>
      <c r="H5" s="4"/>
      <c r="I5" s="4"/>
      <c r="J5" s="4"/>
    </row>
    <row r="6" spans="1:10">
      <c r="A6" s="4"/>
      <c r="B6" s="4"/>
      <c r="C6" s="4"/>
      <c r="D6" s="4"/>
      <c r="E6" s="4"/>
      <c r="F6" s="4"/>
      <c r="G6" s="4"/>
      <c r="H6" s="4"/>
      <c r="I6" s="4"/>
      <c r="J6" s="4"/>
    </row>
    <row r="7" spans="1:10">
      <c r="A7" s="4"/>
      <c r="B7" s="4"/>
      <c r="C7" s="4"/>
      <c r="D7" s="4"/>
      <c r="E7" s="4"/>
      <c r="F7" s="4"/>
      <c r="G7" s="4"/>
      <c r="H7" s="4"/>
      <c r="I7" s="4"/>
      <c r="J7" s="4"/>
    </row>
    <row r="8" spans="1:10">
      <c r="A8" s="4"/>
      <c r="B8" s="4"/>
      <c r="C8" s="4"/>
      <c r="D8" s="4"/>
      <c r="E8" s="4"/>
      <c r="F8" s="4"/>
      <c r="G8" s="4"/>
      <c r="H8" s="4"/>
      <c r="I8" s="4"/>
      <c r="J8" s="4"/>
    </row>
    <row r="9" spans="1:10">
      <c r="A9" s="4"/>
      <c r="B9" s="4"/>
      <c r="C9" s="4"/>
      <c r="D9" s="4"/>
      <c r="E9" s="4"/>
      <c r="F9" s="4"/>
      <c r="G9" s="4"/>
      <c r="H9" s="4"/>
      <c r="I9" s="4"/>
      <c r="J9" s="4"/>
    </row>
    <row r="10" spans="1:10">
      <c r="A10" s="4"/>
      <c r="B10" s="4"/>
      <c r="C10" s="4"/>
      <c r="D10" s="4"/>
      <c r="E10" s="4"/>
      <c r="F10" s="4"/>
      <c r="G10" s="4"/>
      <c r="H10" s="4"/>
      <c r="I10" s="4"/>
      <c r="J10" s="4"/>
    </row>
    <row r="11" spans="1:10">
      <c r="A11" s="4"/>
      <c r="B11" s="4"/>
      <c r="C11" s="4"/>
      <c r="D11" s="4"/>
      <c r="E11" s="4"/>
      <c r="F11" s="4"/>
      <c r="G11" s="4"/>
      <c r="H11" s="4"/>
      <c r="I11" s="4"/>
      <c r="J11" s="4"/>
    </row>
    <row r="12" spans="1:10">
      <c r="A12" s="4"/>
      <c r="B12" s="4"/>
      <c r="C12" s="4"/>
      <c r="D12" s="4"/>
      <c r="E12" s="4"/>
      <c r="F12" s="4"/>
      <c r="G12" s="4"/>
      <c r="H12" s="4"/>
      <c r="I12" s="4"/>
      <c r="J12" s="4"/>
    </row>
    <row r="13" spans="1:10">
      <c r="A13" s="4"/>
      <c r="B13" s="4"/>
      <c r="C13" s="4"/>
      <c r="D13" s="4"/>
      <c r="E13" s="4"/>
      <c r="F13" s="4"/>
      <c r="G13" s="4"/>
      <c r="H13" s="4"/>
      <c r="I13" s="4"/>
      <c r="J13" s="4"/>
    </row>
    <row r="14" spans="1:10">
      <c r="A14" s="4"/>
      <c r="B14" s="4"/>
      <c r="C14" s="4"/>
      <c r="D14" s="4"/>
      <c r="E14" s="4"/>
      <c r="F14" s="4"/>
      <c r="G14" s="4"/>
      <c r="H14" s="4"/>
      <c r="I14" s="4"/>
      <c r="J14" s="4"/>
    </row>
    <row r="15" spans="1:10">
      <c r="A15" s="4"/>
      <c r="B15" s="4"/>
      <c r="C15" s="4"/>
      <c r="D15" s="4"/>
      <c r="E15" s="4"/>
      <c r="F15" s="4"/>
      <c r="G15" s="4"/>
      <c r="H15" s="4"/>
      <c r="I15" s="4"/>
      <c r="J15" s="4"/>
    </row>
    <row r="16" spans="1:10">
      <c r="A16" s="4"/>
      <c r="B16" s="4"/>
      <c r="C16" s="4"/>
      <c r="D16" s="4"/>
      <c r="E16" s="4"/>
      <c r="F16" s="4"/>
      <c r="G16" s="4"/>
      <c r="H16" s="4"/>
      <c r="I16" s="4"/>
      <c r="J16" s="4"/>
    </row>
    <row r="17" spans="1:10">
      <c r="A17" s="4"/>
      <c r="B17" s="4"/>
      <c r="C17" s="4"/>
      <c r="D17" s="4"/>
      <c r="E17" s="4"/>
      <c r="F17" s="4"/>
      <c r="G17" s="4"/>
      <c r="H17" s="4"/>
      <c r="I17" s="4"/>
      <c r="J17" s="4"/>
    </row>
    <row r="18" spans="1:10">
      <c r="A18" s="4"/>
      <c r="B18" s="4"/>
      <c r="C18" s="4"/>
      <c r="D18" s="4"/>
      <c r="E18" s="4"/>
      <c r="F18" s="4"/>
      <c r="G18" s="4"/>
      <c r="H18" s="4"/>
      <c r="I18" s="4"/>
      <c r="J18" s="4"/>
    </row>
    <row r="19" spans="1:10">
      <c r="A19" s="4"/>
      <c r="B19" s="4"/>
      <c r="C19" s="4"/>
      <c r="D19" s="4"/>
      <c r="E19" s="4"/>
      <c r="F19" s="4"/>
      <c r="G19" s="4"/>
      <c r="H19" s="4"/>
      <c r="I19" s="4"/>
      <c r="J19" s="4"/>
    </row>
    <row r="20" spans="1:10">
      <c r="A20" s="4"/>
      <c r="B20" s="4"/>
      <c r="C20" s="4"/>
      <c r="D20" s="4"/>
      <c r="E20" s="4"/>
      <c r="F20" s="4"/>
      <c r="G20" s="4"/>
      <c r="H20" s="4"/>
      <c r="I20" s="4"/>
      <c r="J20" s="4"/>
    </row>
    <row r="21" spans="1:10">
      <c r="A21" s="4"/>
      <c r="B21" s="4"/>
      <c r="C21" s="4"/>
      <c r="D21" s="4"/>
      <c r="E21" s="4"/>
      <c r="F21" s="4"/>
      <c r="G21" s="4"/>
      <c r="H21" s="4"/>
      <c r="I21" s="4"/>
      <c r="J21" s="4"/>
    </row>
    <row r="22" spans="1:10">
      <c r="A22" s="4"/>
      <c r="B22" s="4"/>
      <c r="C22" s="4"/>
      <c r="D22" s="4"/>
      <c r="E22" s="4"/>
      <c r="F22" s="4"/>
      <c r="G22" s="4"/>
      <c r="H22" s="4"/>
      <c r="I22" s="4"/>
      <c r="J22" s="4"/>
    </row>
    <row r="23" spans="1:10">
      <c r="A23" s="4"/>
      <c r="B23" s="4"/>
      <c r="C23" s="4"/>
      <c r="D23" s="4"/>
      <c r="E23" s="4"/>
      <c r="F23" s="4"/>
      <c r="G23" s="4"/>
      <c r="H23" s="4"/>
      <c r="I23" s="4"/>
      <c r="J23" s="4"/>
    </row>
    <row r="24" ht="20.4" spans="1:10">
      <c r="A24" s="5"/>
      <c r="B24" s="5"/>
      <c r="C24" s="5"/>
      <c r="D24" s="5"/>
      <c r="E24" s="5"/>
      <c r="F24" s="5"/>
      <c r="G24" s="5"/>
      <c r="H24" s="5"/>
      <c r="I24" s="5"/>
      <c r="J24" s="5"/>
    </row>
    <row r="25" spans="1:10">
      <c r="A25" s="4"/>
      <c r="B25" s="4"/>
      <c r="C25" s="4"/>
      <c r="D25" s="4"/>
      <c r="E25" s="4"/>
      <c r="F25" s="4"/>
      <c r="G25" s="4"/>
      <c r="H25" s="4"/>
      <c r="I25" s="4"/>
      <c r="J25" s="4"/>
    </row>
    <row r="26" spans="1:10">
      <c r="A26" s="4"/>
      <c r="B26" s="4"/>
      <c r="C26" s="4"/>
      <c r="D26" s="4"/>
      <c r="E26" s="4"/>
      <c r="F26" s="4"/>
      <c r="G26" s="4"/>
      <c r="H26" s="4"/>
      <c r="I26" s="4"/>
      <c r="J26" s="4"/>
    </row>
    <row r="27" ht="20.4" spans="1:10">
      <c r="A27" s="6" t="s">
        <v>403</v>
      </c>
      <c r="B27" s="6"/>
      <c r="C27" s="6"/>
      <c r="D27" s="6"/>
      <c r="E27" s="6"/>
      <c r="F27" s="6"/>
      <c r="G27" s="6"/>
      <c r="H27" s="6"/>
      <c r="I27" s="6"/>
      <c r="J27" s="6"/>
    </row>
    <row r="28" spans="1:10">
      <c r="A28" s="4"/>
      <c r="B28" s="4"/>
      <c r="C28" s="4"/>
      <c r="D28" s="4"/>
      <c r="E28" s="4"/>
      <c r="F28" s="4"/>
      <c r="G28" s="4"/>
      <c r="H28" s="4"/>
      <c r="I28" s="4"/>
      <c r="J28" s="4"/>
    </row>
    <row r="29" spans="1:10">
      <c r="A29" s="4"/>
      <c r="B29" s="4"/>
      <c r="C29" s="4"/>
      <c r="D29" s="4"/>
      <c r="E29" s="4"/>
      <c r="F29" s="4"/>
      <c r="G29" s="4"/>
      <c r="H29" s="4"/>
      <c r="I29" s="4"/>
      <c r="J29" s="4"/>
    </row>
    <row r="30" spans="1:10">
      <c r="A30" s="4"/>
      <c r="B30" s="4"/>
      <c r="C30" s="4"/>
      <c r="D30" s="4"/>
      <c r="E30" s="4"/>
      <c r="F30" s="4"/>
      <c r="G30" s="4"/>
      <c r="H30" s="4"/>
      <c r="I30" s="4"/>
      <c r="J30" s="4"/>
    </row>
    <row r="31" spans="1:10">
      <c r="A31" s="4"/>
      <c r="B31" s="4"/>
      <c r="C31" s="4"/>
      <c r="D31" s="4"/>
      <c r="E31" s="4"/>
      <c r="F31" s="4"/>
      <c r="G31" s="4"/>
      <c r="H31" s="4"/>
      <c r="I31" s="4"/>
      <c r="J31" s="4"/>
    </row>
    <row r="32" spans="1:10">
      <c r="A32" s="4"/>
      <c r="B32" s="4"/>
      <c r="C32" s="4"/>
      <c r="D32" s="4"/>
      <c r="E32" s="4"/>
      <c r="F32" s="4"/>
      <c r="G32" s="4"/>
      <c r="H32" s="4"/>
      <c r="I32" s="4"/>
      <c r="J32" s="4"/>
    </row>
    <row r="33" spans="1:10">
      <c r="A33" s="4"/>
      <c r="B33" s="4"/>
      <c r="C33" s="4"/>
      <c r="D33" s="4"/>
      <c r="E33" s="4"/>
      <c r="F33" s="4"/>
      <c r="G33" s="4"/>
      <c r="H33" s="4"/>
      <c r="I33" s="4"/>
      <c r="J33" s="4"/>
    </row>
    <row r="34" spans="1:10">
      <c r="A34" s="4"/>
      <c r="B34" s="4"/>
      <c r="C34" s="4"/>
      <c r="D34" s="4"/>
      <c r="E34" s="4"/>
      <c r="F34" s="4"/>
      <c r="G34" s="4"/>
      <c r="H34" s="4"/>
      <c r="I34" s="4"/>
      <c r="J34" s="4"/>
    </row>
    <row r="35" spans="1:10">
      <c r="A35" s="4"/>
      <c r="B35" s="4"/>
      <c r="C35" s="4"/>
      <c r="D35" s="4"/>
      <c r="E35" s="4"/>
      <c r="F35" s="4"/>
      <c r="G35" s="4"/>
      <c r="H35" s="4"/>
      <c r="I35" s="4"/>
      <c r="J35" s="4"/>
    </row>
    <row r="36" spans="1:10">
      <c r="A36" s="4"/>
      <c r="B36" s="4"/>
      <c r="C36" s="4"/>
      <c r="D36" s="4"/>
      <c r="E36" s="4"/>
      <c r="F36" s="4"/>
      <c r="G36" s="4"/>
      <c r="H36" s="4"/>
      <c r="I36" s="4"/>
      <c r="J36" s="4"/>
    </row>
    <row r="37" spans="1:10">
      <c r="A37" s="4"/>
      <c r="B37" s="4"/>
      <c r="C37" s="4"/>
      <c r="D37" s="4"/>
      <c r="E37" s="4"/>
      <c r="F37" s="4"/>
      <c r="G37" s="4"/>
      <c r="H37" s="4"/>
      <c r="I37" s="4"/>
      <c r="J37" s="4"/>
    </row>
    <row r="38" spans="1:10">
      <c r="A38" s="4"/>
      <c r="B38" s="4"/>
      <c r="C38" s="4"/>
      <c r="D38" s="4"/>
      <c r="E38" s="4"/>
      <c r="F38" s="4"/>
      <c r="G38" s="4"/>
      <c r="H38" s="4"/>
      <c r="I38" s="4"/>
      <c r="J38" s="4"/>
    </row>
    <row r="39" spans="1:10">
      <c r="A39" s="4"/>
      <c r="B39" s="4"/>
      <c r="C39" s="4"/>
      <c r="D39" s="4"/>
      <c r="E39" s="4"/>
      <c r="F39" s="4"/>
      <c r="G39" s="4"/>
      <c r="H39" s="4"/>
      <c r="I39" s="4"/>
      <c r="J39" s="4"/>
    </row>
    <row r="40" spans="1:10">
      <c r="A40" s="4"/>
      <c r="B40" s="4"/>
      <c r="C40" s="4"/>
      <c r="D40" s="4"/>
      <c r="E40" s="4"/>
      <c r="F40" s="4"/>
      <c r="G40" s="4"/>
      <c r="H40" s="4"/>
      <c r="I40" s="4"/>
      <c r="J40" s="4"/>
    </row>
    <row r="41" spans="1:10">
      <c r="A41" s="7"/>
      <c r="B41" s="7"/>
      <c r="C41" s="7"/>
      <c r="D41" s="7"/>
      <c r="E41" s="7"/>
      <c r="F41" s="7"/>
      <c r="G41" s="7"/>
      <c r="H41" s="7"/>
      <c r="I41" s="7"/>
      <c r="J41" s="7"/>
    </row>
    <row r="42" spans="1:10">
      <c r="A42" s="7"/>
      <c r="B42" s="7"/>
      <c r="C42" s="7"/>
      <c r="D42" s="7"/>
      <c r="E42" s="7"/>
      <c r="F42" s="7"/>
      <c r="G42" s="7"/>
      <c r="H42" s="7"/>
      <c r="I42" s="7"/>
      <c r="J42" s="7"/>
    </row>
    <row r="43" spans="1:10">
      <c r="A43" s="7"/>
      <c r="B43" s="7"/>
      <c r="C43" s="7"/>
      <c r="D43" s="7"/>
      <c r="E43" s="7"/>
      <c r="F43" s="7"/>
      <c r="G43" s="7"/>
      <c r="H43" s="7"/>
      <c r="I43" s="7"/>
      <c r="J43" s="7"/>
    </row>
    <row r="44" spans="1:10">
      <c r="A44" s="4"/>
      <c r="B44" s="4"/>
      <c r="C44" s="4"/>
      <c r="D44" s="4"/>
      <c r="E44" s="4"/>
      <c r="F44" s="4"/>
      <c r="G44" s="4"/>
      <c r="H44" s="4"/>
      <c r="I44" s="4"/>
      <c r="J44" s="4"/>
    </row>
    <row r="45" ht="31.9" customHeight="1" spans="1:10">
      <c r="A45" s="4"/>
      <c r="B45" s="4"/>
      <c r="C45" s="4"/>
      <c r="D45" s="4"/>
      <c r="E45" s="4"/>
      <c r="F45" s="4"/>
      <c r="G45" s="4"/>
      <c r="H45" s="4"/>
      <c r="I45" s="4"/>
      <c r="J45" s="4"/>
    </row>
    <row r="46" ht="26.45" customHeight="1" spans="1:10">
      <c r="A46" s="4"/>
      <c r="B46" s="4"/>
      <c r="C46" s="4"/>
      <c r="D46" s="4"/>
      <c r="E46" s="4"/>
      <c r="F46" s="4"/>
      <c r="G46" s="4"/>
      <c r="H46" s="4"/>
      <c r="I46" s="4"/>
      <c r="J46" s="4"/>
    </row>
    <row r="47" ht="57" customHeight="1" spans="1:10">
      <c r="A47" s="4"/>
      <c r="B47" s="4"/>
      <c r="C47" s="4"/>
      <c r="D47" s="4"/>
      <c r="E47" s="4"/>
      <c r="F47" s="4"/>
      <c r="G47" s="4"/>
      <c r="H47" s="4"/>
      <c r="I47" s="4"/>
      <c r="J47" s="4"/>
    </row>
    <row r="48" ht="53.45" customHeight="1" spans="1:10">
      <c r="A48" s="8" t="s">
        <v>404</v>
      </c>
      <c r="B48" s="9"/>
      <c r="C48" s="9"/>
      <c r="D48" s="9"/>
      <c r="E48" s="9"/>
      <c r="F48" s="9"/>
      <c r="G48" s="9"/>
      <c r="H48" s="9"/>
      <c r="I48" s="9"/>
      <c r="J48" s="9"/>
    </row>
    <row r="49" spans="1:10">
      <c r="A49" s="4"/>
      <c r="B49" s="4"/>
      <c r="C49" s="4"/>
      <c r="D49" s="4"/>
      <c r="E49" s="4"/>
      <c r="F49" s="4"/>
      <c r="G49" s="4"/>
      <c r="H49" s="4"/>
      <c r="I49" s="4"/>
      <c r="J49" s="4"/>
    </row>
    <row r="50" spans="1:10">
      <c r="A50" s="4"/>
      <c r="B50" s="4"/>
      <c r="C50" s="4"/>
      <c r="D50" s="4"/>
      <c r="E50" s="4"/>
      <c r="F50" s="4"/>
      <c r="G50" s="4"/>
      <c r="H50" s="4"/>
      <c r="I50" s="4"/>
      <c r="J50" s="4"/>
    </row>
    <row r="51" spans="1:10">
      <c r="A51" s="4"/>
      <c r="B51" s="4"/>
      <c r="C51" s="4"/>
      <c r="D51" s="4"/>
      <c r="E51" s="4"/>
      <c r="F51" s="4"/>
      <c r="G51" s="4"/>
      <c r="H51" s="4"/>
      <c r="I51" s="4"/>
      <c r="J51" s="4"/>
    </row>
    <row r="52" spans="1:10">
      <c r="A52" s="4"/>
      <c r="B52" s="4"/>
      <c r="C52" s="4"/>
      <c r="D52" s="4"/>
      <c r="E52" s="4"/>
      <c r="F52" s="4"/>
      <c r="G52" s="4"/>
      <c r="H52" s="4"/>
      <c r="I52" s="4"/>
      <c r="J52" s="4"/>
    </row>
    <row r="53" spans="1:10">
      <c r="A53" s="4"/>
      <c r="B53" s="4"/>
      <c r="C53" s="4"/>
      <c r="D53" s="4"/>
      <c r="E53" s="4"/>
      <c r="F53" s="4"/>
      <c r="G53" s="4"/>
      <c r="H53" s="4"/>
      <c r="I53" s="4"/>
      <c r="J53" s="4"/>
    </row>
    <row r="54" spans="1:10">
      <c r="A54" s="4"/>
      <c r="B54" s="4"/>
      <c r="C54" s="4"/>
      <c r="D54" s="4"/>
      <c r="E54" s="4"/>
      <c r="F54" s="4"/>
      <c r="G54" s="4"/>
      <c r="H54" s="4"/>
      <c r="I54" s="4"/>
      <c r="J54" s="4"/>
    </row>
  </sheetData>
  <mergeCells count="7">
    <mergeCell ref="A1:J1"/>
    <mergeCell ref="A2:J2"/>
    <mergeCell ref="A3:J3"/>
    <mergeCell ref="A24:J24"/>
    <mergeCell ref="A27:J27"/>
    <mergeCell ref="A48:J48"/>
    <mergeCell ref="A41:J43"/>
  </mergeCells>
  <pageMargins left="0.7" right="0.7" top="0.75" bottom="0.75" header="0.3" footer="0.3"/>
  <pageSetup paperSize="9" scale="87"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MIL 科学注塑适用范围MIL Scientific Mold</vt:lpstr>
      <vt:lpstr>MILScientific Injection Molding</vt:lpstr>
      <vt:lpstr>温度设置 Set Temp</vt:lpstr>
      <vt:lpstr>粘度曲线Viscosity Curve</vt:lpstr>
      <vt:lpstr>动态压力降测试Dynamic pressure  test</vt:lpstr>
      <vt:lpstr>型腔平衡测试CAV balance test</vt:lpstr>
      <vt:lpstr>压力工艺窗口Pressure process window</vt:lpstr>
      <vt:lpstr>浇口冻结测试Gate freezing test</vt:lpstr>
      <vt:lpstr>锁模力优化Optimization of clamping f</vt:lpstr>
      <vt:lpstr>MIL INJECTION MOLD TRIAL SHOT R</vt:lpstr>
      <vt:lpstr>Standard curve of the sensor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Rao Wei Hua (CN.DGMIL-MEA-Tooling) 饒衛華</dc:creator>
  <cp:lastModifiedBy>刘遐new</cp:lastModifiedBy>
  <dcterms:created xsi:type="dcterms:W3CDTF">2015-06-06T02:17:00Z</dcterms:created>
  <cp:lastPrinted>2025-04-24T11:19:00Z</cp:lastPrinted>
  <dcterms:modified xsi:type="dcterms:W3CDTF">2026-01-06T10:27:27Z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21D627DFD458E2710F735C6987A6D540_43</vt:lpwstr>
  </property>
  <property fmtid="{D5CDD505-2E9C-101B-9397-08002B2CF9AE}" pid="3" name="KSOProductBuildVer">
    <vt:lpwstr>2052-12.1.24031.24031</vt:lpwstr>
  </property>
  <property fmtid="{D5CDD505-2E9C-101B-9397-08002B2CF9AE}" pid="4" name="CalculationRule">
    <vt:i4>0</vt:i4>
  </property>
</Properties>
</file>