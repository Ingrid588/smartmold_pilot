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Step1_粘度曲线" sheetId="2" state="visible" r:id="rId2"/>
    <sheet name="Step2_型腔平衡" sheetId="3" state="visible" r:id="rId3"/>
    <sheet name="Step3_压力降" sheetId="4" state="visible" r:id="rId4"/>
    <sheet name="Step4_工艺窗口" sheetId="5" state="visible" r:id="rId5"/>
    <sheet name="Step5_浇口冻结" sheetId="6" state="visible" r:id="rId6"/>
    <sheet name="Step6_冷却时间" sheetId="7" state="visible" r:id="rId7"/>
    <sheet name="Step7_锁模力" sheetId="8" state="visible" r:id="rId8"/>
    <sheet name="项目综合信息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FF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SmartMold 数据上传模板 - 使用说明</t>
        </is>
      </c>
    </row>
    <row r="2">
      <c r="A2" t="inlineStr"/>
    </row>
    <row r="3">
      <c r="A3" s="2" t="inlineStr">
        <is>
          <t>📋 本模板包含科学注塑7步法的所有测试数据（原始测量值）:</t>
        </is>
      </c>
    </row>
    <row r="4">
      <c r="A4" t="inlineStr"/>
    </row>
    <row r="5">
      <c r="A5" s="2" t="inlineStr">
        <is>
          <t>• Step1_粘度曲线: 速度%、实际速度、填充时间、峰值压力</t>
        </is>
      </c>
    </row>
    <row r="6">
      <c r="A6" t="inlineStr">
        <is>
          <t xml:space="preserve">  → App将计算: 剪切率、有效粘度</t>
        </is>
      </c>
    </row>
    <row r="7">
      <c r="A7" t="inlineStr"/>
    </row>
    <row r="8">
      <c r="A8" s="2" t="inlineStr">
        <is>
          <t>• Step2_型腔平衡: 测试类型（Short_Shot/VP_Switch）、腔号、重量</t>
        </is>
      </c>
    </row>
    <row r="9">
      <c r="A9" t="inlineStr">
        <is>
          <t xml:space="preserve">  → App将计算: 平衡度、不合格腔</t>
        </is>
      </c>
    </row>
    <row r="10">
      <c r="A10" t="inlineStr"/>
    </row>
    <row r="11">
      <c r="A11" s="2" t="inlineStr">
        <is>
          <t>• Step3_压力降: 标准位置（Nozzle/Runner/Gate/Part_50%/Part_99%）、压力</t>
        </is>
      </c>
    </row>
    <row r="12">
      <c r="A12" t="inlineStr">
        <is>
          <t xml:space="preserve">  → App将计算: 压降梯度、阻力分析</t>
        </is>
      </c>
    </row>
    <row r="13">
      <c r="A13" t="inlineStr"/>
    </row>
    <row r="14">
      <c r="A14" s="2" t="inlineStr">
        <is>
          <t>• Step4_工艺窗口: 射速、保压压力、产品质量（Pass/Fail）</t>
        </is>
      </c>
    </row>
    <row r="15">
      <c r="A15" t="inlineStr">
        <is>
          <t xml:space="preserve">  → App将计算: 工艺窗口边界</t>
        </is>
      </c>
    </row>
    <row r="16">
      <c r="A16" t="inlineStr"/>
    </row>
    <row r="17">
      <c r="A17" s="2" t="inlineStr">
        <is>
          <t>• Step5_浇口冻结: 保压时间、重量</t>
        </is>
      </c>
    </row>
    <row r="18">
      <c r="A18" t="inlineStr">
        <is>
          <t xml:space="preserve">  → App将计算: 浇口冻结时间点</t>
        </is>
      </c>
    </row>
    <row r="19">
      <c r="A19" t="inlineStr"/>
    </row>
    <row r="20">
      <c r="A20" s="2" t="inlineStr">
        <is>
          <t>• Step6_冷却时间: 冷却时间、产品温度、变形量</t>
        </is>
      </c>
    </row>
    <row r="21">
      <c r="A21" t="inlineStr">
        <is>
          <t xml:space="preserve">  → App将计算: 最佳冷却时间</t>
        </is>
      </c>
    </row>
    <row r="22">
      <c r="A22" t="inlineStr"/>
    </row>
    <row r="23">
      <c r="A23" s="2" t="inlineStr">
        <is>
          <t>• Step7_锁模力: 锁模力、飞边情况（Yes/No）</t>
        </is>
      </c>
    </row>
    <row r="24">
      <c r="A24" t="inlineStr">
        <is>
          <t xml:space="preserve">  → App将计算: 最小安全锁模力</t>
        </is>
      </c>
    </row>
    <row r="25">
      <c r="A25" t="inlineStr"/>
    </row>
    <row r="26">
      <c r="A26" s="2" t="inlineStr">
        <is>
          <t>• 机台参数: 必须包含螺杆直径、增压比、最大压力（用于计算）</t>
        </is>
      </c>
    </row>
    <row r="27">
      <c r="A27" t="inlineStr"/>
    </row>
    <row r="28">
      <c r="A28" t="inlineStr">
        <is>
          <t>⚙️ 核心原则: App是计算器，不是记录本</t>
        </is>
      </c>
    </row>
    <row r="29">
      <c r="A29" t="inlineStr"/>
    </row>
    <row r="30">
      <c r="A30" t="inlineStr">
        <is>
          <t>✓ 您提供: 原始测量数据（Raw Data）</t>
        </is>
      </c>
    </row>
    <row r="31">
      <c r="A31" t="inlineStr">
        <is>
          <t>✓ App计算: 派生指标（Insight）</t>
        </is>
      </c>
    </row>
    <row r="32">
      <c r="A32" t="inlineStr"/>
    </row>
    <row r="33">
      <c r="A33" s="2" t="inlineStr">
        <is>
          <t>✏️ 使用方法:</t>
        </is>
      </c>
    </row>
    <row r="34">
      <c r="A34" t="inlineStr"/>
    </row>
    <row r="35">
      <c r="A35" t="inlineStr">
        <is>
          <t>1. 填写您的实际测量数据（不要自己算粘度！）</t>
        </is>
      </c>
    </row>
    <row r="36">
      <c r="A36" t="inlineStr">
        <is>
          <t>2. 可以只填写部分步骤</t>
        </is>
      </c>
    </row>
    <row r="37">
      <c r="A37" t="inlineStr">
        <is>
          <t>3. 保持表头格式不变</t>
        </is>
      </c>
    </row>
    <row r="38">
      <c r="A38" t="inlineStr">
        <is>
          <t>4. 在SmartMold系统上传</t>
        </is>
      </c>
    </row>
    <row r="39">
      <c r="A39" t="inlineStr">
        <is>
          <t>5. 系统自动计算并生成报告</t>
        </is>
      </c>
    </row>
    <row r="40">
      <c r="A40" t="inlineStr"/>
    </row>
    <row r="41">
      <c r="A41" s="2" t="inlineStr">
        <is>
          <t>💡 重要提示:</t>
        </is>
      </c>
    </row>
    <row r="42">
      <c r="A42" t="inlineStr"/>
    </row>
    <row r="43">
      <c r="A43" s="2" t="inlineStr">
        <is>
          <t>• Step3位置必须用枚举值: Nozzle, Runner, Gate, Part_50%, Part_99%</t>
        </is>
      </c>
    </row>
    <row r="44">
      <c r="A44" s="2" t="inlineStr">
        <is>
          <t>• Step2测试类型必须是: Short_Shot 或 VP_Switch</t>
        </is>
      </c>
    </row>
    <row r="45">
      <c r="A45" s="2" t="inlineStr">
        <is>
          <t>• 机台参数中的螺杆直径、增压比是必填项</t>
        </is>
      </c>
    </row>
    <row r="46">
      <c r="A46" s="2" t="inlineStr">
        <is>
          <t>• 所有示例数据都符合物理规律，可作为参考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 (%)</t>
        </is>
      </c>
      <c r="B1" t="inlineStr">
        <is>
          <t>实际速度 (mm/s)</t>
        </is>
      </c>
      <c r="C1" t="inlineStr">
        <is>
          <t>切换位置 (mm)</t>
        </is>
      </c>
      <c r="D1" t="inlineStr">
        <is>
          <t>填充时间 (s)</t>
        </is>
      </c>
      <c r="E1" t="inlineStr">
        <is>
          <t>峰值压力 (Bar)</t>
        </is>
      </c>
      <c r="G1" t="inlineStr">
        <is>
          <t>螺杆直径:</t>
        </is>
      </c>
      <c r="H1" t="n">
        <v>53</v>
      </c>
    </row>
    <row r="2">
      <c r="A2" t="n">
        <v>10</v>
      </c>
      <c r="B2" t="n">
        <v>20</v>
      </c>
      <c r="C2" t="n">
        <v>30</v>
      </c>
      <c r="D2" t="n">
        <v>12.605</v>
      </c>
      <c r="E2" t="n">
        <v>6609.7</v>
      </c>
      <c r="G2" t="inlineStr">
        <is>
          <t>材料:</t>
        </is>
      </c>
      <c r="H2" t="inlineStr">
        <is>
          <t>PA6 GF30</t>
        </is>
      </c>
    </row>
    <row r="3">
      <c r="A3" t="n">
        <v>20</v>
      </c>
      <c r="B3" t="n">
        <v>40</v>
      </c>
      <c r="C3" t="n">
        <v>30</v>
      </c>
      <c r="D3" t="n">
        <v>6.166</v>
      </c>
      <c r="E3" t="n">
        <v>8311.6</v>
      </c>
      <c r="G3" t="inlineStr">
        <is>
          <t>说明:</t>
        </is>
      </c>
      <c r="H3" t="inlineStr">
        <is>
          <t>填写原始测量值，App将计算粘度</t>
        </is>
      </c>
    </row>
    <row r="4">
      <c r="A4" t="n">
        <v>35</v>
      </c>
      <c r="B4" t="n">
        <v>70</v>
      </c>
      <c r="C4" t="n">
        <v>30</v>
      </c>
      <c r="D4" t="n">
        <v>3.622</v>
      </c>
      <c r="E4" t="n">
        <v>10214.7</v>
      </c>
    </row>
    <row r="5">
      <c r="A5" t="n">
        <v>50</v>
      </c>
      <c r="B5" t="n">
        <v>100</v>
      </c>
      <c r="C5" t="n">
        <v>30</v>
      </c>
      <c r="D5" t="n">
        <v>2.559</v>
      </c>
      <c r="E5" t="n">
        <v>11063.9</v>
      </c>
    </row>
    <row r="6">
      <c r="A6" t="n">
        <v>65</v>
      </c>
      <c r="B6" t="n">
        <v>130</v>
      </c>
      <c r="C6" t="n">
        <v>30</v>
      </c>
      <c r="D6" t="n">
        <v>1.914</v>
      </c>
      <c r="E6" t="n">
        <v>12010.6</v>
      </c>
    </row>
    <row r="7">
      <c r="A7" t="n">
        <v>80</v>
      </c>
      <c r="B7" t="n">
        <v>160</v>
      </c>
      <c r="C7" t="n">
        <v>30</v>
      </c>
      <c r="D7" t="n">
        <v>1.536</v>
      </c>
      <c r="E7" t="n">
        <v>13234.8</v>
      </c>
    </row>
    <row r="8">
      <c r="A8" t="n">
        <v>95</v>
      </c>
      <c r="B8" t="n">
        <v>190</v>
      </c>
      <c r="C8" t="n">
        <v>30</v>
      </c>
      <c r="D8" t="n">
        <v>1.278</v>
      </c>
      <c r="E8" t="n">
        <v>13748.2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测试类型</t>
        </is>
      </c>
      <c r="B1" t="inlineStr">
        <is>
          <t>腔号</t>
        </is>
      </c>
      <c r="C1" t="inlineStr">
        <is>
          <t>重量 (g)</t>
        </is>
      </c>
      <c r="E1" t="inlineStr">
        <is>
          <t>说明:</t>
        </is>
      </c>
      <c r="F1" t="inlineStr">
        <is>
          <t>Short_Shot=短射50%, VP_Switch=满射99%</t>
        </is>
      </c>
    </row>
    <row r="2">
      <c r="A2" t="inlineStr">
        <is>
          <t>Short_Shot</t>
        </is>
      </c>
      <c r="B2" t="n">
        <v>1</v>
      </c>
      <c r="C2" t="n">
        <v>6.558</v>
      </c>
    </row>
    <row r="3">
      <c r="A3" t="inlineStr">
        <is>
          <t>Short_Shot</t>
        </is>
      </c>
      <c r="B3" t="n">
        <v>2</v>
      </c>
      <c r="C3" t="n">
        <v>6.518</v>
      </c>
    </row>
    <row r="4">
      <c r="A4" t="inlineStr">
        <is>
          <t>Short_Shot</t>
        </is>
      </c>
      <c r="B4" t="n">
        <v>3</v>
      </c>
      <c r="C4" t="n">
        <v>6.391</v>
      </c>
    </row>
    <row r="5">
      <c r="A5" t="inlineStr">
        <is>
          <t>Short_Shot</t>
        </is>
      </c>
      <c r="B5" t="n">
        <v>4</v>
      </c>
      <c r="C5" t="n">
        <v>6.535</v>
      </c>
    </row>
    <row r="6">
      <c r="A6" t="inlineStr">
        <is>
          <t>Short_Shot</t>
        </is>
      </c>
      <c r="B6" t="n">
        <v>5</v>
      </c>
      <c r="C6" t="n">
        <v>6.621</v>
      </c>
    </row>
    <row r="7">
      <c r="A7" t="inlineStr">
        <is>
          <t>Short_Shot</t>
        </is>
      </c>
      <c r="B7" t="n">
        <v>6</v>
      </c>
      <c r="C7" t="n">
        <v>6.308</v>
      </c>
    </row>
    <row r="8">
      <c r="A8" t="inlineStr">
        <is>
          <t>Short_Shot</t>
        </is>
      </c>
      <c r="B8" t="n">
        <v>7</v>
      </c>
      <c r="C8" t="n">
        <v>6.619</v>
      </c>
    </row>
    <row r="9">
      <c r="A9" t="inlineStr">
        <is>
          <t>Short_Shot</t>
        </is>
      </c>
      <c r="B9" t="n">
        <v>8</v>
      </c>
      <c r="C9" t="n">
        <v>6.577</v>
      </c>
    </row>
    <row r="10">
      <c r="A10" t="inlineStr">
        <is>
          <t>VP_Switch</t>
        </is>
      </c>
      <c r="B10" t="n">
        <v>1</v>
      </c>
      <c r="C10" t="n">
        <v>12.739</v>
      </c>
    </row>
    <row r="11">
      <c r="A11" t="inlineStr">
        <is>
          <t>VP_Switch</t>
        </is>
      </c>
      <c r="B11" t="n">
        <v>2</v>
      </c>
      <c r="C11" t="n">
        <v>12.668</v>
      </c>
    </row>
    <row r="12">
      <c r="A12" t="inlineStr">
        <is>
          <t>VP_Switch</t>
        </is>
      </c>
      <c r="B12" t="n">
        <v>3</v>
      </c>
      <c r="C12" t="n">
        <v>12.976</v>
      </c>
    </row>
    <row r="13">
      <c r="A13" t="inlineStr">
        <is>
          <t>VP_Switch</t>
        </is>
      </c>
      <c r="B13" t="n">
        <v>4</v>
      </c>
      <c r="C13" t="n">
        <v>12.737</v>
      </c>
    </row>
    <row r="14">
      <c r="A14" t="inlineStr">
        <is>
          <t>VP_Switch</t>
        </is>
      </c>
      <c r="B14" t="n">
        <v>5</v>
      </c>
      <c r="C14" t="n">
        <v>12.644</v>
      </c>
    </row>
    <row r="15">
      <c r="A15" t="inlineStr">
        <is>
          <t>VP_Switch</t>
        </is>
      </c>
      <c r="B15" t="n">
        <v>6</v>
      </c>
      <c r="C15" t="n">
        <v>12.645</v>
      </c>
    </row>
    <row r="16">
      <c r="A16" t="inlineStr">
        <is>
          <t>VP_Switch</t>
        </is>
      </c>
      <c r="B16" t="n">
        <v>7</v>
      </c>
      <c r="C16" t="n">
        <v>12.933</v>
      </c>
    </row>
    <row r="17">
      <c r="A17" t="inlineStr">
        <is>
          <t>VP_Switch</t>
        </is>
      </c>
      <c r="B17" t="n">
        <v>8</v>
      </c>
      <c r="C17" t="n">
        <v>12.84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位置</t>
        </is>
      </c>
      <c r="B1" t="inlineStr">
        <is>
          <t>压力 (Bar)</t>
        </is>
      </c>
      <c r="D1" t="inlineStr">
        <is>
          <t>说明:</t>
        </is>
      </c>
      <c r="E1" t="inlineStr">
        <is>
          <t>位置必须是: Nozzle, Runner, Gate, Part_50%, Part_99%</t>
        </is>
      </c>
    </row>
    <row r="2">
      <c r="A2" t="inlineStr">
        <is>
          <t>Nozzle</t>
        </is>
      </c>
      <c r="B2" t="n">
        <v>1214.7</v>
      </c>
    </row>
    <row r="3">
      <c r="A3" t="inlineStr">
        <is>
          <t>Runner</t>
        </is>
      </c>
      <c r="B3" t="n">
        <v>989</v>
      </c>
    </row>
    <row r="4">
      <c r="A4" t="inlineStr">
        <is>
          <t>Gate</t>
        </is>
      </c>
      <c r="B4" t="n">
        <v>751.1</v>
      </c>
    </row>
    <row r="5">
      <c r="A5" t="inlineStr">
        <is>
          <t>Part_50%</t>
        </is>
      </c>
      <c r="B5" t="n">
        <v>529.8</v>
      </c>
    </row>
    <row r="6">
      <c r="A6" t="inlineStr">
        <is>
          <t>Part_99%</t>
        </is>
      </c>
      <c r="B6" t="n">
        <v>278.6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射速 (mm/s)</t>
        </is>
      </c>
      <c r="B1" t="inlineStr">
        <is>
          <t>保压压力 (Bar)</t>
        </is>
      </c>
      <c r="C1" t="inlineStr">
        <is>
          <t>保压时间 (s)</t>
        </is>
      </c>
      <c r="D1" t="inlineStr">
        <is>
          <t>产品质量</t>
        </is>
      </c>
      <c r="F1" t="inlineStr">
        <is>
          <t>说明:</t>
        </is>
      </c>
      <c r="G1" t="inlineStr">
        <is>
          <t>质量: Pass/Fail</t>
        </is>
      </c>
    </row>
    <row r="2">
      <c r="A2" t="n">
        <v>40</v>
      </c>
      <c r="B2" t="n">
        <v>500</v>
      </c>
      <c r="C2" t="n">
        <v>8.104081262546455</v>
      </c>
      <c r="D2" t="inlineStr">
        <is>
          <t>Fail</t>
        </is>
      </c>
    </row>
    <row r="3">
      <c r="A3" t="n">
        <v>40</v>
      </c>
      <c r="B3" t="n">
        <v>650</v>
      </c>
      <c r="C3" t="n">
        <v>8.65880932850599</v>
      </c>
      <c r="D3" t="inlineStr">
        <is>
          <t>Fail</t>
        </is>
      </c>
    </row>
    <row r="4">
      <c r="A4" t="n">
        <v>40</v>
      </c>
      <c r="B4" t="n">
        <v>800</v>
      </c>
      <c r="C4" t="n">
        <v>8.237039504728493</v>
      </c>
      <c r="D4" t="inlineStr">
        <is>
          <t>Fail</t>
        </is>
      </c>
    </row>
    <row r="5">
      <c r="A5" t="n">
        <v>40</v>
      </c>
      <c r="B5" t="n">
        <v>900</v>
      </c>
      <c r="C5" t="n">
        <v>8.723413800621554</v>
      </c>
      <c r="D5" t="inlineStr">
        <is>
          <t>Fail</t>
        </is>
      </c>
    </row>
    <row r="6">
      <c r="A6" t="n">
        <v>50</v>
      </c>
      <c r="B6" t="n">
        <v>500</v>
      </c>
      <c r="C6" t="n">
        <v>8.154704290513525</v>
      </c>
      <c r="D6" t="inlineStr">
        <is>
          <t>Fail</t>
        </is>
      </c>
    </row>
    <row r="7">
      <c r="A7" t="n">
        <v>50</v>
      </c>
      <c r="B7" t="n">
        <v>650</v>
      </c>
      <c r="C7" t="n">
        <v>8.409143672429847</v>
      </c>
      <c r="D7" t="inlineStr">
        <is>
          <t>Pass</t>
        </is>
      </c>
    </row>
    <row r="8">
      <c r="A8" t="n">
        <v>50</v>
      </c>
      <c r="B8" t="n">
        <v>800</v>
      </c>
      <c r="C8" t="n">
        <v>7.091648767311325</v>
      </c>
      <c r="D8" t="inlineStr">
        <is>
          <t>Pass</t>
        </is>
      </c>
    </row>
    <row r="9">
      <c r="A9" t="n">
        <v>50</v>
      </c>
      <c r="B9" t="n">
        <v>900</v>
      </c>
      <c r="C9" t="n">
        <v>7.455796551303093</v>
      </c>
      <c r="D9" t="inlineStr">
        <is>
          <t>Fail</t>
        </is>
      </c>
    </row>
    <row r="10">
      <c r="A10" t="n">
        <v>60</v>
      </c>
      <c r="B10" t="n">
        <v>500</v>
      </c>
      <c r="C10" t="n">
        <v>7.578775927204214</v>
      </c>
      <c r="D10" t="inlineStr">
        <is>
          <t>Fail</t>
        </is>
      </c>
    </row>
    <row r="11">
      <c r="A11" t="n">
        <v>60</v>
      </c>
      <c r="B11" t="n">
        <v>650</v>
      </c>
      <c r="C11" t="n">
        <v>7.159583953847255</v>
      </c>
      <c r="D11" t="inlineStr">
        <is>
          <t>Pass</t>
        </is>
      </c>
    </row>
    <row r="12">
      <c r="A12" t="n">
        <v>60</v>
      </c>
      <c r="B12" t="n">
        <v>800</v>
      </c>
      <c r="C12" t="n">
        <v>7.465581772722061</v>
      </c>
      <c r="D12" t="inlineStr">
        <is>
          <t>Pass</t>
        </is>
      </c>
    </row>
    <row r="13">
      <c r="A13" t="n">
        <v>60</v>
      </c>
      <c r="B13" t="n">
        <v>900</v>
      </c>
      <c r="C13" t="n">
        <v>7.202002858819458</v>
      </c>
      <c r="D13" t="inlineStr">
        <is>
          <t>Fail</t>
        </is>
      </c>
    </row>
    <row r="14">
      <c r="A14" t="n">
        <v>70</v>
      </c>
      <c r="B14" t="n">
        <v>500</v>
      </c>
      <c r="C14" t="n">
        <v>7.555947206220184</v>
      </c>
      <c r="D14" t="inlineStr">
        <is>
          <t>Fail</t>
        </is>
      </c>
    </row>
    <row r="15">
      <c r="A15" t="n">
        <v>70</v>
      </c>
      <c r="B15" t="n">
        <v>650</v>
      </c>
      <c r="C15" t="n">
        <v>8.2713688885288</v>
      </c>
      <c r="D15" t="inlineStr">
        <is>
          <t>Fail</t>
        </is>
      </c>
    </row>
    <row r="16">
      <c r="A16" t="n">
        <v>70</v>
      </c>
      <c r="B16" t="n">
        <v>800</v>
      </c>
      <c r="C16" t="n">
        <v>7.729664357940169</v>
      </c>
      <c r="D16" t="inlineStr">
        <is>
          <t>Fail</t>
        </is>
      </c>
    </row>
    <row r="17">
      <c r="A17" t="n">
        <v>70</v>
      </c>
      <c r="B17" t="n">
        <v>900</v>
      </c>
      <c r="C17" t="n">
        <v>7.740361934233765</v>
      </c>
      <c r="D17" t="inlineStr">
        <is>
          <t>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保压时间 (s)</t>
        </is>
      </c>
      <c r="B1" t="inlineStr">
        <is>
          <t>重量 (g)</t>
        </is>
      </c>
      <c r="D1" t="inlineStr">
        <is>
          <t>说明:</t>
        </is>
      </c>
      <c r="E1" t="inlineStr">
        <is>
          <t>逐步增加保压时间，记录产品重量变化</t>
        </is>
      </c>
    </row>
    <row r="2">
      <c r="A2" t="n">
        <v>0.5</v>
      </c>
      <c r="B2" t="n">
        <v>2.662</v>
      </c>
    </row>
    <row r="3">
      <c r="A3" t="n">
        <v>1</v>
      </c>
      <c r="B3" t="n">
        <v>4.69</v>
      </c>
    </row>
    <row r="4">
      <c r="A4" t="n">
        <v>1.5</v>
      </c>
      <c r="B4" t="n">
        <v>6.805</v>
      </c>
    </row>
    <row r="5">
      <c r="A5" t="n">
        <v>2</v>
      </c>
      <c r="B5" t="n">
        <v>8.807</v>
      </c>
    </row>
    <row r="6">
      <c r="A6" t="n">
        <v>2.5</v>
      </c>
      <c r="B6" t="n">
        <v>10.839</v>
      </c>
    </row>
    <row r="7">
      <c r="A7" t="n">
        <v>3</v>
      </c>
      <c r="B7" t="n">
        <v>12.765</v>
      </c>
    </row>
    <row r="8">
      <c r="A8" t="n">
        <v>3.5</v>
      </c>
      <c r="B8" t="n">
        <v>12.909</v>
      </c>
    </row>
    <row r="9">
      <c r="A9" t="n">
        <v>4</v>
      </c>
      <c r="B9" t="n">
        <v>12.763</v>
      </c>
    </row>
    <row r="10">
      <c r="A10" t="n">
        <v>4.5</v>
      </c>
      <c r="B10" t="n">
        <v>12.819</v>
      </c>
    </row>
    <row r="11">
      <c r="A11" t="n">
        <v>5</v>
      </c>
      <c r="B11" t="n">
        <v>12.976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冷却时间 (s)</t>
        </is>
      </c>
      <c r="B1" t="inlineStr">
        <is>
          <t>产品温度 (°C)</t>
        </is>
      </c>
      <c r="C1" t="inlineStr">
        <is>
          <t>变形量 (mm)</t>
        </is>
      </c>
      <c r="E1" t="inlineStr">
        <is>
          <t>说明:</t>
        </is>
      </c>
      <c r="F1" t="inlineStr">
        <is>
          <t>测试不同冷却时间对产品质量的影响</t>
        </is>
      </c>
    </row>
    <row r="2">
      <c r="A2" t="n">
        <v>5</v>
      </c>
      <c r="B2" t="n">
        <v>168.5</v>
      </c>
      <c r="C2" t="n">
        <v>0.614</v>
      </c>
    </row>
    <row r="3">
      <c r="A3" t="n">
        <v>8</v>
      </c>
      <c r="B3" t="n">
        <v>131.6</v>
      </c>
      <c r="C3" t="n">
        <v>0.468</v>
      </c>
    </row>
    <row r="4">
      <c r="A4" t="n">
        <v>10</v>
      </c>
      <c r="B4" t="n">
        <v>112.7</v>
      </c>
      <c r="C4" t="n">
        <v>0.36</v>
      </c>
    </row>
    <row r="5">
      <c r="A5" t="n">
        <v>12</v>
      </c>
      <c r="B5" t="n">
        <v>94</v>
      </c>
      <c r="C5" t="n">
        <v>0.298</v>
      </c>
    </row>
    <row r="6">
      <c r="A6" t="n">
        <v>15</v>
      </c>
      <c r="B6" t="n">
        <v>76.7</v>
      </c>
      <c r="C6" t="n">
        <v>0.218</v>
      </c>
    </row>
    <row r="7">
      <c r="A7" t="n">
        <v>18</v>
      </c>
      <c r="B7" t="n">
        <v>65</v>
      </c>
      <c r="C7" t="n">
        <v>0.173</v>
      </c>
    </row>
    <row r="8">
      <c r="A8" t="n">
        <v>20</v>
      </c>
      <c r="B8" t="n">
        <v>56.4</v>
      </c>
      <c r="C8" t="n">
        <v>0.138</v>
      </c>
    </row>
    <row r="9">
      <c r="A9" t="n">
        <v>25</v>
      </c>
      <c r="B9" t="n">
        <v>44.1</v>
      </c>
      <c r="C9" t="n">
        <v>0.08599999999999999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锁模力 (吨)</t>
        </is>
      </c>
      <c r="B1" t="inlineStr">
        <is>
          <t>产品重量 (g)</t>
        </is>
      </c>
      <c r="C1" t="inlineStr">
        <is>
          <t>飞边情况</t>
        </is>
      </c>
      <c r="E1" t="inlineStr">
        <is>
          <t>说明:</t>
        </is>
      </c>
      <c r="F1" t="inlineStr">
        <is>
          <t>飞边情况: Yes/No，重量变化辅助判断</t>
        </is>
      </c>
    </row>
    <row r="2">
      <c r="A2" t="n">
        <v>200</v>
      </c>
      <c r="B2" t="inlineStr">
        <is>
          <t>Yes</t>
        </is>
      </c>
      <c r="C2" t="inlineStr">
        <is>
          <t>Yes</t>
        </is>
      </c>
    </row>
    <row r="3">
      <c r="A3" t="n">
        <v>220</v>
      </c>
      <c r="B3" t="inlineStr">
        <is>
          <t>Yes</t>
        </is>
      </c>
      <c r="C3" t="inlineStr">
        <is>
          <t>Yes</t>
        </is>
      </c>
    </row>
    <row r="4">
      <c r="A4" t="n">
        <v>230</v>
      </c>
      <c r="B4" t="inlineStr">
        <is>
          <t>Yes</t>
        </is>
      </c>
      <c r="C4" t="inlineStr">
        <is>
          <t>Yes</t>
        </is>
      </c>
    </row>
    <row r="5">
      <c r="A5" t="n">
        <v>240</v>
      </c>
      <c r="B5" t="inlineStr">
        <is>
          <t>No</t>
        </is>
      </c>
      <c r="C5" t="inlineStr">
        <is>
          <t>No</t>
        </is>
      </c>
    </row>
    <row r="6">
      <c r="A6" t="n">
        <v>250</v>
      </c>
      <c r="B6" t="inlineStr">
        <is>
          <t>No</t>
        </is>
      </c>
      <c r="C6" t="inlineStr">
        <is>
          <t>No</t>
        </is>
      </c>
    </row>
    <row r="7">
      <c r="A7" t="n">
        <v>260</v>
      </c>
      <c r="B7" t="inlineStr">
        <is>
          <t>No</t>
        </is>
      </c>
      <c r="C7" t="inlineStr">
        <is>
          <t>No</t>
        </is>
      </c>
    </row>
    <row r="8">
      <c r="A8" t="n">
        <v>270</v>
      </c>
      <c r="B8" t="inlineStr">
        <is>
          <t>No</t>
        </is>
      </c>
      <c r="C8" t="inlineStr">
        <is>
          <t>No</t>
        </is>
      </c>
    </row>
    <row r="9">
      <c r="A9" t="n">
        <v>280</v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参数分类</t>
        </is>
      </c>
      <c r="B1" t="inlineStr">
        <is>
          <t>参数名称</t>
        </is>
      </c>
      <c r="C1" t="inlineStr">
        <is>
          <t>参数值</t>
        </is>
      </c>
    </row>
    <row r="2">
      <c r="A2">
        <f>== 产品信息 ===</f>
        <v/>
      </c>
      <c r="B2" t="inlineStr"/>
      <c r="C2" t="inlineStr"/>
    </row>
    <row r="3">
      <c r="A3" t="inlineStr">
        <is>
          <t>产品信息</t>
        </is>
      </c>
      <c r="B3" t="inlineStr">
        <is>
          <t>Model No</t>
        </is>
      </c>
      <c r="C3" t="inlineStr">
        <is>
          <t>018467001</t>
        </is>
      </c>
    </row>
    <row r="4">
      <c r="A4" t="inlineStr">
        <is>
          <t>产品信息</t>
        </is>
      </c>
      <c r="B4" t="inlineStr">
        <is>
          <t>Part No</t>
        </is>
      </c>
      <c r="C4" t="inlineStr">
        <is>
          <t>351514009</t>
        </is>
      </c>
    </row>
    <row r="5">
      <c r="A5" t="inlineStr">
        <is>
          <t>产品信息</t>
        </is>
      </c>
      <c r="B5" t="inlineStr">
        <is>
          <t>Part Name</t>
        </is>
      </c>
      <c r="C5" t="inlineStr">
        <is>
          <t>Handle Housing Support</t>
        </is>
      </c>
    </row>
    <row r="6">
      <c r="A6" t="inlineStr">
        <is>
          <t>产品信息</t>
        </is>
      </c>
      <c r="B6" t="inlineStr">
        <is>
          <t>供应商 Supplier</t>
        </is>
      </c>
      <c r="C6" t="inlineStr">
        <is>
          <t>GM</t>
        </is>
      </c>
    </row>
    <row r="7">
      <c r="A7" t="inlineStr">
        <is>
          <t>产品信息</t>
        </is>
      </c>
      <c r="B7" t="inlineStr">
        <is>
          <t>负责人 Engineer</t>
        </is>
      </c>
      <c r="C7" t="inlineStr">
        <is>
          <t>张工</t>
        </is>
      </c>
    </row>
    <row r="8">
      <c r="A8" t="inlineStr">
        <is>
          <t>产品信息</t>
        </is>
      </c>
      <c r="B8" t="inlineStr">
        <is>
          <t>测试日期</t>
        </is>
      </c>
      <c r="C8" t="inlineStr">
        <is>
          <t>2026-01-07</t>
        </is>
      </c>
    </row>
    <row r="9">
      <c r="A9" t="inlineStr">
        <is>
          <t>产品信息</t>
        </is>
      </c>
      <c r="B9" t="inlineStr">
        <is>
          <t>理论重量 (g)</t>
        </is>
      </c>
      <c r="C9" t="n">
        <v>20.5</v>
      </c>
    </row>
    <row r="10">
      <c r="A10" t="inlineStr">
        <is>
          <t>产品信息</t>
        </is>
      </c>
      <c r="B10" t="inlineStr">
        <is>
          <t>实际重量 (g)</t>
        </is>
      </c>
      <c r="C10" t="n">
        <v>23</v>
      </c>
    </row>
    <row r="11">
      <c r="A11">
        <f>== 模具信息 ===</f>
        <v/>
      </c>
      <c r="B11" t="inlineStr"/>
      <c r="C11" t="inlineStr"/>
    </row>
    <row r="12">
      <c r="A12" t="inlineStr">
        <is>
          <t>模具信息</t>
        </is>
      </c>
      <c r="B12" t="inlineStr">
        <is>
          <t>模号 Mold Number</t>
        </is>
      </c>
      <c r="C12" t="inlineStr">
        <is>
          <t>TG34724342-07</t>
        </is>
      </c>
    </row>
    <row r="13">
      <c r="A13" t="inlineStr">
        <is>
          <t>模具信息</t>
        </is>
      </c>
      <c r="B13" t="inlineStr">
        <is>
          <t>流道形式 Runner Type</t>
        </is>
      </c>
      <c r="C13" t="inlineStr">
        <is>
          <t>Hot Runner</t>
        </is>
      </c>
    </row>
    <row r="14">
      <c r="A14" t="inlineStr">
        <is>
          <t>模具信息</t>
        </is>
      </c>
      <c r="B14" t="inlineStr">
        <is>
          <t>模穴数 Cavity Qty</t>
        </is>
      </c>
      <c r="C14" t="inlineStr">
        <is>
          <t>1+1</t>
        </is>
      </c>
    </row>
    <row r="15">
      <c r="A15" t="inlineStr">
        <is>
          <t>模具信息</t>
        </is>
      </c>
      <c r="B15" t="inlineStr">
        <is>
          <t>模具尺寸 Mold Size</t>
        </is>
      </c>
      <c r="C15" t="inlineStr">
        <is>
          <t>450x380x320</t>
        </is>
      </c>
    </row>
    <row r="16">
      <c r="A16" t="inlineStr">
        <is>
          <t>模具信息</t>
        </is>
      </c>
      <c r="B16" t="inlineStr">
        <is>
          <t>浇口类型 Gate Type</t>
        </is>
      </c>
      <c r="C16" t="inlineStr">
        <is>
          <t>Side Gate</t>
        </is>
      </c>
    </row>
    <row r="17">
      <c r="A17">
        <f>== 材料信息 ===</f>
        <v/>
      </c>
      <c r="B17" t="inlineStr"/>
      <c r="C17" t="inlineStr"/>
    </row>
    <row r="18">
      <c r="A18" t="inlineStr">
        <is>
          <t>材料信息</t>
        </is>
      </c>
      <c r="B18" t="inlineStr">
        <is>
          <t>品牌 Brand</t>
        </is>
      </c>
      <c r="C18" t="inlineStr">
        <is>
          <t>博云</t>
        </is>
      </c>
    </row>
    <row r="19">
      <c r="A19" t="inlineStr">
        <is>
          <t>材料信息</t>
        </is>
      </c>
      <c r="B19" t="inlineStr">
        <is>
          <t>型号 Grade</t>
        </is>
      </c>
      <c r="C19" t="inlineStr">
        <is>
          <t>PA6 260G6 RE310</t>
        </is>
      </c>
    </row>
    <row r="20">
      <c r="A20" t="inlineStr">
        <is>
          <t>材料信息</t>
        </is>
      </c>
      <c r="B20" t="inlineStr">
        <is>
          <t>材料编号</t>
        </is>
      </c>
      <c r="C20" t="inlineStr">
        <is>
          <t>500181173</t>
        </is>
      </c>
    </row>
    <row r="21">
      <c r="A21" t="inlineStr">
        <is>
          <t>材料信息</t>
        </is>
      </c>
      <c r="B21" t="inlineStr">
        <is>
          <t>颜色 Color</t>
        </is>
      </c>
      <c r="C21" t="inlineStr">
        <is>
          <t>RED</t>
        </is>
      </c>
    </row>
    <row r="22">
      <c r="A22" t="inlineStr">
        <is>
          <t>材料信息</t>
        </is>
      </c>
      <c r="B22" t="inlineStr">
        <is>
          <t>密度 Density (g/cm³)</t>
        </is>
      </c>
      <c r="C22" t="n">
        <v>1.36</v>
      </c>
    </row>
    <row r="23">
      <c r="A23" t="inlineStr">
        <is>
          <t>材料信息</t>
        </is>
      </c>
      <c r="B23" t="inlineStr">
        <is>
          <t>烘烤温度 (°C)</t>
        </is>
      </c>
      <c r="C23" t="inlineStr">
        <is>
          <t>80~100</t>
        </is>
      </c>
    </row>
    <row r="24">
      <c r="A24" t="inlineStr">
        <is>
          <t>材料信息</t>
        </is>
      </c>
      <c r="B24" t="inlineStr">
        <is>
          <t>烘烤时间 (H)</t>
        </is>
      </c>
      <c r="C24" t="inlineStr">
        <is>
          <t>2~3</t>
        </is>
      </c>
    </row>
    <row r="25">
      <c r="A25" t="inlineStr">
        <is>
          <t>材料信息</t>
        </is>
      </c>
      <c r="B25" t="inlineStr">
        <is>
          <t>推荐模温 (°C)</t>
        </is>
      </c>
      <c r="C25" t="inlineStr">
        <is>
          <t>50~80</t>
        </is>
      </c>
    </row>
    <row r="26">
      <c r="A26" t="inlineStr">
        <is>
          <t>材料信息</t>
        </is>
      </c>
      <c r="B26" t="inlineStr">
        <is>
          <t>推荐料温 (°C)</t>
        </is>
      </c>
      <c r="C26" t="inlineStr">
        <is>
          <t>230~260</t>
        </is>
      </c>
    </row>
    <row r="27">
      <c r="A27" t="inlineStr">
        <is>
          <t>材料信息</t>
        </is>
      </c>
      <c r="B27" t="inlineStr">
        <is>
          <t>MFR (g/10min)</t>
        </is>
      </c>
      <c r="C27" t="inlineStr">
        <is>
          <t>15~25</t>
        </is>
      </c>
    </row>
    <row r="28">
      <c r="A28">
        <f>== 机台信息 ===</f>
        <v/>
      </c>
      <c r="B28" t="inlineStr"/>
      <c r="C28" t="inlineStr"/>
    </row>
    <row r="29">
      <c r="A29" t="inlineStr">
        <is>
          <t>机台信息</t>
        </is>
      </c>
      <c r="B29" t="inlineStr">
        <is>
          <t>品牌 Brand</t>
        </is>
      </c>
      <c r="C29" t="inlineStr">
        <is>
          <t>YIZUMI</t>
        </is>
      </c>
    </row>
    <row r="30">
      <c r="A30" t="inlineStr">
        <is>
          <t>机台信息</t>
        </is>
      </c>
      <c r="B30" t="inlineStr">
        <is>
          <t>型号 Model</t>
        </is>
      </c>
      <c r="C30" t="inlineStr">
        <is>
          <t>UN260EIII</t>
        </is>
      </c>
    </row>
    <row r="31">
      <c r="A31" t="inlineStr">
        <is>
          <t>机台信息</t>
        </is>
      </c>
      <c r="B31" t="inlineStr">
        <is>
          <t>机台号 Machine #</t>
        </is>
      </c>
      <c r="C31" t="inlineStr">
        <is>
          <t>23#</t>
        </is>
      </c>
    </row>
    <row r="32">
      <c r="A32" t="inlineStr">
        <is>
          <t>机台信息</t>
        </is>
      </c>
      <c r="B32" t="inlineStr">
        <is>
          <t>类型 Type</t>
        </is>
      </c>
      <c r="C32" t="inlineStr">
        <is>
          <t>油压机</t>
        </is>
      </c>
    </row>
    <row r="33">
      <c r="A33" t="inlineStr">
        <is>
          <t>机台信息</t>
        </is>
      </c>
      <c r="B33" t="inlineStr">
        <is>
          <t>吨位 Tonnage</t>
        </is>
      </c>
      <c r="C33" t="n">
        <v>260</v>
      </c>
    </row>
    <row r="34">
      <c r="A34" t="inlineStr">
        <is>
          <t>机台信息</t>
        </is>
      </c>
      <c r="B34" t="inlineStr">
        <is>
          <t>螺杆直径 (mm)</t>
        </is>
      </c>
      <c r="C34" t="n">
        <v>53</v>
      </c>
    </row>
    <row r="35">
      <c r="A35" t="inlineStr">
        <is>
          <t>机台信息</t>
        </is>
      </c>
      <c r="B35" t="inlineStr">
        <is>
          <t>增压比 Intensification Ratio</t>
        </is>
      </c>
      <c r="C35" t="n">
        <v>10.5</v>
      </c>
    </row>
    <row r="36">
      <c r="A36" t="inlineStr">
        <is>
          <t>机台信息</t>
        </is>
      </c>
      <c r="B36" t="inlineStr">
        <is>
          <t>滞留时间 (min)</t>
        </is>
      </c>
      <c r="C36" t="n">
        <v>1.71</v>
      </c>
    </row>
    <row r="37">
      <c r="A37" t="inlineStr">
        <is>
          <t>机台信息</t>
        </is>
      </c>
      <c r="B37" t="inlineStr">
        <is>
          <t>占总胶量百分比 (%)</t>
        </is>
      </c>
      <c r="C37" t="n">
        <v>61.6</v>
      </c>
    </row>
    <row r="38">
      <c r="A38" t="inlineStr">
        <is>
          <t>机台信息</t>
        </is>
      </c>
      <c r="B38" t="inlineStr">
        <is>
          <t>周期时间 Cycle Time (s)</t>
        </is>
      </c>
      <c r="C38" t="n">
        <v>45</v>
      </c>
    </row>
    <row r="39">
      <c r="A39">
        <f>== 工艺参数 ===</f>
        <v/>
      </c>
      <c r="B39" t="inlineStr"/>
      <c r="C39" t="inlineStr"/>
    </row>
    <row r="40">
      <c r="A40" t="inlineStr">
        <is>
          <t>工艺参数</t>
        </is>
      </c>
      <c r="B40" t="inlineStr">
        <is>
          <t>V/P切换位置 (mm)</t>
        </is>
      </c>
      <c r="C40" t="n">
        <v>30</v>
      </c>
    </row>
    <row r="41">
      <c r="A41" t="inlineStr">
        <is>
          <t>工艺参数</t>
        </is>
      </c>
      <c r="B41" t="inlineStr">
        <is>
          <t>最大压力 (Bar)</t>
        </is>
      </c>
      <c r="C41" t="n">
        <v>1800</v>
      </c>
    </row>
    <row r="42">
      <c r="A42" t="inlineStr">
        <is>
          <t>工艺参数</t>
        </is>
      </c>
      <c r="B42" t="inlineStr">
        <is>
          <t>最大射速 (mm/s)</t>
        </is>
      </c>
      <c r="C4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2026-01-07T08:10:13Z</dcterms:created>
  <dcterms:modified xsi:type="dcterms:W3CDTF">2026-01-07T08:10:13Z</dcterms:modified>
</cp:coreProperties>
</file>