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6.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7.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8.xml" ContentType="application/vnd.openxmlformats-officedocument.drawing+xml"/>
  <Override PartName="/xl/drawings/drawing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mc:AlternateContent xmlns:mc="http://schemas.openxmlformats.org/markup-compatibility/2006">
    <mc:Choice Requires="x15">
      <x15ac:absPath xmlns:x15ac="http://schemas.microsoft.com/office/spreadsheetml/2010/11/ac" url="C:\Users\Alan.Long\Desktop\"/>
    </mc:Choice>
  </mc:AlternateContent>
  <xr:revisionPtr revIDLastSave="0" documentId="13_ncr:1_{3B83E20F-64EE-4CCD-99A1-75A74930FDD2}" xr6:coauthVersionLast="47" xr6:coauthVersionMax="47" xr10:uidLastSave="{00000000-0000-0000-0000-000000000000}"/>
  <bookViews>
    <workbookView xWindow="-108" yWindow="-18108" windowWidth="29016" windowHeight="17496" xr2:uid="{00000000-000D-0000-FFFF-FFFF00000000}"/>
  </bookViews>
  <sheets>
    <sheet name="MIL 科学注塑适用范围MIL Scientific Mold" sheetId="24" r:id="rId1"/>
    <sheet name="MILScientific Injection Molding" sheetId="14" r:id="rId2"/>
    <sheet name="温度设置 Set Temp" sheetId="15" r:id="rId3"/>
    <sheet name="粘度曲线Viscosity Curve" sheetId="16" r:id="rId4"/>
    <sheet name="动态压力降测试Dynamic pressure  test" sheetId="17" r:id="rId5"/>
    <sheet name="型腔平衡测试CAV balance test" sheetId="18" r:id="rId6"/>
    <sheet name="压力工艺窗口Pressure process window" sheetId="19" r:id="rId7"/>
    <sheet name="浇口冻结测试Gate freezing test" sheetId="20" r:id="rId8"/>
    <sheet name="锁模力优化Optimization of clamping f" sheetId="21" r:id="rId9"/>
    <sheet name="MIL INJECTION MOLD TRIAL SHOT R" sheetId="23" r:id="rId10"/>
    <sheet name="Standard curve of the sensor" sheetId="22" r:id="rId11"/>
  </sheets>
  <definedNames>
    <definedName name="_xlnm.Print_Area" localSheetId="0">'MIL 科学注塑适用范围MIL Scientific Mold'!$A$1:$H$31</definedName>
    <definedName name="_xlnm.Print_Area" localSheetId="1">'MILScientific Injection Molding'!$A$1:$L$49</definedName>
    <definedName name="_xlnm.Print_Area" localSheetId="10">'Standard curve of the sensor'!$A$1:$J$49</definedName>
    <definedName name="_xlnm.Print_Area" localSheetId="4">'动态压力降测试Dynamic pressure  test'!$A$1:$H$42</definedName>
    <definedName name="_xlnm.Print_Area" localSheetId="6">'压力工艺窗口Pressure process window'!$A$1:$I$36</definedName>
    <definedName name="_xlnm.Print_Area" localSheetId="5">'型腔平衡测试CAV balance test'!$A$1:$O$43</definedName>
    <definedName name="_xlnm.Print_Area" localSheetId="7">'浇口冻结测试Gate freezing test'!$A$1:$I$47</definedName>
    <definedName name="_xlnm.Print_Area" localSheetId="2">'温度设置 Set Temp'!$A$1:$P$40</definedName>
    <definedName name="_xlnm.Print_Area" localSheetId="3">'粘度曲线Viscosity Curve'!$A$1:$H$40</definedName>
    <definedName name="_xlnm.Print_Area" localSheetId="8">'锁模力优化Optimization of clamping f'!$A$1:$H$43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21" i="14" l="1"/>
  <c r="E46" i="14"/>
  <c r="N3" i="23" l="1"/>
  <c r="Q8" i="23"/>
  <c r="N8" i="23"/>
  <c r="K8" i="23"/>
  <c r="H8" i="23"/>
  <c r="E8" i="23"/>
  <c r="D2" i="23"/>
  <c r="R4" i="23"/>
  <c r="N5" i="23"/>
  <c r="N4" i="23"/>
  <c r="H6" i="23"/>
  <c r="K4" i="23"/>
  <c r="H4" i="23"/>
  <c r="F4" i="23"/>
  <c r="C4" i="23"/>
  <c r="C5" i="23"/>
  <c r="F5" i="23"/>
  <c r="R10" i="23"/>
  <c r="O28" i="18"/>
  <c r="O27" i="18"/>
  <c r="I6" i="14"/>
  <c r="C21" i="14" l="1"/>
  <c r="P5" i="23"/>
  <c r="B40" i="17"/>
  <c r="D40" i="17" s="1"/>
  <c r="C47" i="14" s="1"/>
  <c r="B47" i="14"/>
  <c r="A21" i="14" l="1"/>
  <c r="I46" i="14"/>
  <c r="N38" i="18"/>
  <c r="O38" i="18" s="1"/>
  <c r="N39" i="18"/>
  <c r="N37" i="18"/>
  <c r="O37" i="18" s="1"/>
  <c r="J41" i="18" s="1"/>
  <c r="F38" i="18"/>
  <c r="G38" i="18" s="1"/>
  <c r="F39" i="18"/>
  <c r="F40" i="18"/>
  <c r="F37" i="18"/>
  <c r="G37" i="18" s="1"/>
  <c r="O20" i="18"/>
  <c r="O19" i="18"/>
  <c r="O18" i="18"/>
  <c r="O17" i="18"/>
  <c r="O16" i="18"/>
  <c r="O15" i="18"/>
  <c r="O14" i="18"/>
  <c r="O13" i="18"/>
  <c r="F14" i="18"/>
  <c r="F15" i="18"/>
  <c r="F16" i="18"/>
  <c r="F17" i="18"/>
  <c r="F18" i="18"/>
  <c r="F19" i="18"/>
  <c r="F20" i="18"/>
  <c r="F13" i="18"/>
  <c r="K21" i="18" l="1"/>
  <c r="B21" i="18"/>
  <c r="B22" i="18"/>
  <c r="B41" i="18"/>
  <c r="K22" i="18"/>
  <c r="I47" i="14" l="1"/>
  <c r="A47" i="14"/>
  <c r="D47" i="14"/>
  <c r="C34" i="20"/>
  <c r="G47" i="14" s="1"/>
  <c r="D22" i="19"/>
  <c r="E47" i="14" s="1"/>
  <c r="K23" i="18"/>
  <c r="G16" i="16"/>
  <c r="H16" i="16"/>
  <c r="G17" i="16"/>
  <c r="H17" i="16"/>
  <c r="G18" i="16"/>
  <c r="H18" i="16"/>
  <c r="G19" i="16"/>
  <c r="H19" i="16"/>
  <c r="G20" i="16"/>
  <c r="H20" i="16"/>
  <c r="G21" i="16"/>
  <c r="H21" i="16"/>
  <c r="G22" i="16"/>
  <c r="H22" i="16"/>
  <c r="B23" i="18" l="1"/>
</calcChain>
</file>

<file path=xl/sharedStrings.xml><?xml version="1.0" encoding="utf-8"?>
<sst xmlns="http://schemas.openxmlformats.org/spreadsheetml/2006/main" count="575" uniqueCount="402">
  <si>
    <t>mm</t>
  </si>
  <si>
    <t>MPa*s</t>
  </si>
  <si>
    <t>mm/sec</t>
  </si>
  <si>
    <t>sec</t>
  </si>
  <si>
    <t>Mpa</t>
  </si>
  <si>
    <t>1/t</t>
  </si>
  <si>
    <t>型腔#</t>
  </si>
  <si>
    <t>part1</t>
  </si>
  <si>
    <t>part2</t>
  </si>
  <si>
    <t>part3</t>
  </si>
  <si>
    <t>part4</t>
  </si>
  <si>
    <t>Part1</t>
  </si>
  <si>
    <t>Part2</t>
  </si>
  <si>
    <t>Part3</t>
  </si>
  <si>
    <t>Part4</t>
  </si>
  <si>
    <t>产品有披风</t>
  </si>
  <si>
    <t>Model No</t>
  </si>
  <si>
    <t>CAV</t>
  </si>
  <si>
    <t>Part Name</t>
  </si>
  <si>
    <r>
      <t xml:space="preserve">MIL INJECTION MOLD TRIAL SHOT RECORD
</t>
    </r>
    <r>
      <rPr>
        <sz val="36"/>
        <rFont val="Calibri"/>
        <family val="2"/>
        <scheme val="minor"/>
      </rPr>
      <t>试模参数记录表</t>
    </r>
  </si>
  <si>
    <t xml:space="preserve">   Moldel No.:</t>
    <phoneticPr fontId="1" type="noConversion"/>
  </si>
  <si>
    <t xml:space="preserve">    Mold maker:</t>
  </si>
  <si>
    <t xml:space="preserve">  Date:</t>
  </si>
  <si>
    <t xml:space="preserve">记录编号: </t>
  </si>
  <si>
    <t>T</t>
  </si>
  <si>
    <t>M/C Set Up</t>
  </si>
  <si>
    <t>Part No.
产品编号</t>
  </si>
  <si>
    <t>Part Name
产品名称</t>
  </si>
  <si>
    <t>Tooling No.
模具编号</t>
  </si>
  <si>
    <t>Machine brand
啤机品牌</t>
  </si>
  <si>
    <t>machine Type
机器类型
(油机/电机)</t>
  </si>
  <si>
    <t>Machine Size
啤机吨位</t>
  </si>
  <si>
    <t>Screw Diameter
螺杆直径(mm)</t>
  </si>
  <si>
    <t>Max injection pressure 啤机最大注射压力</t>
  </si>
  <si>
    <t>Intensification Ratio
啤机增强比</t>
  </si>
  <si>
    <t>Max
Injection Speed
最大
注射速度</t>
  </si>
  <si>
    <t xml:space="preserve"> MM/S</t>
  </si>
  <si>
    <t>Material
塑料材料</t>
  </si>
  <si>
    <t>Color
颜 色</t>
  </si>
  <si>
    <t>Regrind rate
(水口比例)</t>
  </si>
  <si>
    <t>Drying Temperature                            
烤料温度</t>
  </si>
  <si>
    <t>Time (H)
烤料时间</t>
  </si>
  <si>
    <t>Max system pressure
啤机最大系统压力</t>
  </si>
  <si>
    <t xml:space="preserve"> Bar</t>
  </si>
  <si>
    <t>MoldSize(L*W*H)                模具尺寸（ mm ）</t>
  </si>
  <si>
    <t>Cavity Qty  (模穴数)</t>
  </si>
  <si>
    <t>Core Pulling            缩呵</t>
  </si>
  <si>
    <t>Hydraulic
抽呵</t>
    <phoneticPr fontId="1" type="noConversion"/>
  </si>
  <si>
    <t>Limit Switch (限位制)</t>
  </si>
  <si>
    <t>Other dry Treatment                 (特殊处理)</t>
  </si>
  <si>
    <t>Core Pull Sequence           (抽芯顺序)</t>
  </si>
  <si>
    <t>Molding Condition</t>
  </si>
  <si>
    <t>Cylinder Temp.℃                          炮筒温度℃</t>
  </si>
  <si>
    <t>Nozzle℃
炉嘴温度℃</t>
  </si>
  <si>
    <t>1st Stage℃
一段温度℃</t>
  </si>
  <si>
    <t>℃</t>
  </si>
  <si>
    <t>2nd Stage℃
二段温度℃</t>
  </si>
  <si>
    <t>3rd Stage℃
三段温度℃</t>
  </si>
  <si>
    <t>4th Stage℃
四段温度℃</t>
  </si>
  <si>
    <t>Inj. Pressure
射胶</t>
  </si>
  <si>
    <t>1st Stage 
一段</t>
  </si>
  <si>
    <t>2nd stage 
二段</t>
  </si>
  <si>
    <t>3rd stage 
三段</t>
  </si>
  <si>
    <t>4th Stage
四段</t>
  </si>
  <si>
    <t>5th Stage
五段</t>
  </si>
  <si>
    <t>Total Inj. Time(s)
射胶时间(s)</t>
  </si>
  <si>
    <t>VP position
VP 切换位置</t>
  </si>
  <si>
    <t>Hold Pressure
保压</t>
  </si>
  <si>
    <t>Total Hold time (s)  
 总保压时间 (s)</t>
  </si>
  <si>
    <t>Inj. Pressure
射胶压力</t>
  </si>
  <si>
    <t>Hold Pressure
保压压力</t>
  </si>
  <si>
    <t>Inj. Speed
射胶速度</t>
  </si>
  <si>
    <t xml:space="preserve"> %    </t>
  </si>
  <si>
    <t>VP time
VP 切换时间</t>
  </si>
  <si>
    <t xml:space="preserve">   Hold Speed             保压速度</t>
  </si>
  <si>
    <t>MM/S</t>
  </si>
  <si>
    <t>Inj.Position             射胶位置</t>
  </si>
  <si>
    <t>Hold time (s)  
 保压时间 (s)</t>
  </si>
  <si>
    <t>Melt pressure
熔胶压力</t>
  </si>
  <si>
    <t>Bar</t>
  </si>
  <si>
    <t xml:space="preserve"> 
Melt Speed
熔胶速度
</t>
  </si>
  <si>
    <t>backpressure
背压压力</t>
  </si>
  <si>
    <t>PLASTIC.STORE  熔胶终点</t>
  </si>
  <si>
    <t>Screw retraction
松退</t>
  </si>
  <si>
    <t>Cushion 残胶量</t>
  </si>
  <si>
    <t>Cooling System
setting
冷却系统设定</t>
  </si>
  <si>
    <t>Front Mold and Slides Cooling lines                        
前模/行位</t>
  </si>
  <si>
    <t xml:space="preserve"> 如（in 1==&gt; in 2==&gt; )</t>
  </si>
  <si>
    <t>Front Mold and Slides Cooling lines     
后模/行位</t>
  </si>
  <si>
    <t>Cavity Temp.℃
实测前模温度℃</t>
  </si>
  <si>
    <t>High
最高温度</t>
  </si>
  <si>
    <t>Low
最低温度</t>
  </si>
  <si>
    <t>Core Temp.℃
实测后模温度℃</t>
  </si>
  <si>
    <t>Slide Temp.℃
实测行位温度℃</t>
  </si>
  <si>
    <t>Other℃
其它(实测)</t>
  </si>
  <si>
    <t>Cooling Time(s)
冷却时间 (s)</t>
  </si>
  <si>
    <t>Cycle Time
周期时间 (s)</t>
  </si>
  <si>
    <t xml:space="preserve"> </t>
    <phoneticPr fontId="1" type="noConversion"/>
  </si>
  <si>
    <t>Hot runner Temp.℃ 
热流道温度 ℃</t>
  </si>
  <si>
    <t>GATE 1
浇口1</t>
  </si>
  <si>
    <t>GATE 2
浇口2</t>
  </si>
  <si>
    <t>GATE 3
浇口3</t>
  </si>
  <si>
    <t>GATE 4
浇口4</t>
  </si>
  <si>
    <t>GATE 5
浇口5</t>
  </si>
  <si>
    <t>GATE 6
浇口6</t>
  </si>
  <si>
    <t>GATE 7
浇口7</t>
  </si>
  <si>
    <t>GATE 8
浇口8</t>
  </si>
  <si>
    <t>Needle valve time controller
针阀时间控制器</t>
  </si>
  <si>
    <t>DELAY
延迟</t>
  </si>
  <si>
    <t>OPEN
打开</t>
  </si>
  <si>
    <t>Ejection 
顶  出</t>
  </si>
  <si>
    <t>automatic
自动</t>
  </si>
  <si>
    <t>semiautomatic
半自动</t>
  </si>
  <si>
    <t>other
其它</t>
  </si>
  <si>
    <t>Operator                   (操作人数)</t>
  </si>
  <si>
    <t>Rework
后加工</t>
  </si>
  <si>
    <t>Tooling &amp; Sample Condition</t>
  </si>
  <si>
    <t>Sample QTY
样办数量 (啤)</t>
  </si>
  <si>
    <t>Part Wt.
产品重量 g/pcs</t>
  </si>
  <si>
    <t>Runner Wt
水口重量 g/啤</t>
  </si>
  <si>
    <t>Shrinkage
缩水数</t>
  </si>
  <si>
    <t>Cosmetic (外观)</t>
  </si>
  <si>
    <t>Short Shot
缺料</t>
  </si>
  <si>
    <t>Flash
批锋</t>
  </si>
  <si>
    <t>Dark Spots
黑点</t>
  </si>
  <si>
    <t>Poor Venting     (排气不良)</t>
  </si>
  <si>
    <t>Sink Marks
缩水</t>
  </si>
  <si>
    <t>Flow Marks
流纹</t>
  </si>
  <si>
    <t>Burn Marks
烧胶</t>
  </si>
  <si>
    <t>Moisture
气纹</t>
  </si>
  <si>
    <t>Scratch
拖伤</t>
  </si>
  <si>
    <t>Sticking in Cav(粘前模)</t>
  </si>
  <si>
    <t>White Marks
顶白</t>
  </si>
  <si>
    <t>Poor Polishing
省模不够</t>
  </si>
  <si>
    <t>Weld Line
熔接线</t>
  </si>
  <si>
    <t>sticking in Core
粘后模</t>
  </si>
  <si>
    <t>Crack
裂缝</t>
  </si>
  <si>
    <t>Deformation (变形)</t>
  </si>
  <si>
    <t>Cavity Marking
模号标示</t>
  </si>
  <si>
    <t>Mterial mark   材料标识</t>
    <phoneticPr fontId="1" type="noConversion"/>
  </si>
  <si>
    <t>P/N mark      产品编号标识</t>
    <phoneticPr fontId="1" type="noConversion"/>
  </si>
  <si>
    <t>Not balanced injection flow.    走胶不平衡</t>
    <phoneticPr fontId="1" type="noConversion"/>
  </si>
  <si>
    <t>Guide pin move smoothly? 导柱是否顺畅?</t>
    <phoneticPr fontId="1" type="noConversion"/>
  </si>
  <si>
    <t>Cooling water leakage? 运水是否泄露?</t>
    <phoneticPr fontId="1" type="noConversion"/>
  </si>
  <si>
    <t>Is the mold temperature average?
模具温度是否平均</t>
  </si>
  <si>
    <t>Other Defect description     (其他模具缺陷描述)</t>
  </si>
  <si>
    <t>Production condition</t>
  </si>
  <si>
    <t>Tooling structure &amp; performance  模具结构和动作:</t>
    <phoneticPr fontId="1" type="noConversion"/>
  </si>
  <si>
    <t>Accept</t>
  </si>
  <si>
    <t>RejectComments:</t>
  </si>
  <si>
    <t>Quality of parts      产品质量</t>
    <phoneticPr fontId="1" type="noConversion"/>
  </si>
  <si>
    <t>Jig Fixture:</t>
  </si>
  <si>
    <t>STD  M/C :    Ton</t>
    <phoneticPr fontId="1" type="noConversion"/>
  </si>
  <si>
    <t>Act.  M/C:Ton</t>
    <phoneticPr fontId="1" type="noConversion"/>
  </si>
  <si>
    <t>Remark:  
  1. 新project试模, 水口比例应与生产状态标准比例相同.
  2. 产品重量需要去除五金或其他insert 的重量, 硬/软胶重量分开
  3. 产品重量，水口重量严格遵从实际样板重量（精确到小数点后一位）.
  4. 周期/顿位超Spec: 提供详细解释说明+不同参数的样板评估确认.
  5:油机压力单位为bar /电机压力单位为MPa) 1Bar≈14.5psi=0.1MPa
  6.油机速度单位为%/电机速度单位为mm/s</t>
  </si>
  <si>
    <t>STD Cycle:  Sec.</t>
    <phoneticPr fontId="1" type="noConversion"/>
  </si>
  <si>
    <t>Act. Cycle:Sec.</t>
    <phoneticPr fontId="1" type="noConversion"/>
  </si>
  <si>
    <t>Tooling Vendor</t>
  </si>
  <si>
    <t>TTI Tooling Group</t>
  </si>
  <si>
    <t>Prepared By:</t>
    <phoneticPr fontId="1" type="noConversion"/>
  </si>
  <si>
    <t>Prepared By:</t>
  </si>
  <si>
    <t>Approval By:</t>
  </si>
  <si>
    <t>From No: TGF0004B</t>
  </si>
  <si>
    <t xml:space="preserve">                  Version:TG-MTR- 03</t>
  </si>
  <si>
    <t>Picture</t>
  </si>
  <si>
    <t>测试总结</t>
  </si>
  <si>
    <t>LDPE/HDPE（聚乙烯）</t>
  </si>
  <si>
    <t>PP（聚丙烯）</t>
  </si>
  <si>
    <t>ABS（丙烯腈丁二烯苯乙烯）</t>
  </si>
  <si>
    <t>PC（聚碳酸酯）</t>
  </si>
  <si>
    <t>PA6/PA66（尼龙）</t>
  </si>
  <si>
    <t>POM（聚甲醛）</t>
  </si>
  <si>
    <t>PET（聚酯）</t>
  </si>
  <si>
    <t>PBT（聚对苯二甲酸丁二醇酯）</t>
  </si>
  <si>
    <t>TPU（热塑性聚氨酯）</t>
  </si>
  <si>
    <t>PMMA（亚克力）</t>
  </si>
  <si>
    <t>PEEK（聚醚醚酮）</t>
  </si>
  <si>
    <t>4~6</t>
  </si>
  <si>
    <t>5~8</t>
  </si>
  <si>
    <t>6~10</t>
  </si>
  <si>
    <t>4~8</t>
  </si>
  <si>
    <t>4~7</t>
  </si>
  <si>
    <t>3~5</t>
  </si>
  <si>
    <t>3~6</t>
  </si>
  <si>
    <t>10~15</t>
  </si>
  <si>
    <t>mm/s</t>
  </si>
  <si>
    <t>外观OK</t>
  </si>
  <si>
    <t>Part No</t>
  </si>
  <si>
    <t>理论重量（g）</t>
  </si>
  <si>
    <r>
      <t>产品</t>
    </r>
    <r>
      <rPr>
        <sz val="10"/>
        <color rgb="FF000000"/>
        <rFont val="Arial"/>
        <family val="2"/>
      </rPr>
      <t>OK</t>
    </r>
  </si>
  <si>
    <t>S</t>
  </si>
  <si>
    <t>OK</t>
  </si>
  <si>
    <t>shot3
（g）</t>
  </si>
  <si>
    <t>shot2
（g）</t>
  </si>
  <si>
    <t>shot1
（g）</t>
  </si>
  <si>
    <t>shot
（g）</t>
  </si>
  <si>
    <t>日期Date：</t>
  </si>
  <si>
    <t xml:space="preserve"> MIL Scientific Injection Molding Validation             </t>
  </si>
  <si>
    <t>RED</t>
  </si>
  <si>
    <t>海天</t>
  </si>
  <si>
    <t>Slider 1</t>
  </si>
  <si>
    <t>Slider 2</t>
  </si>
  <si>
    <t>Slider 3</t>
  </si>
  <si>
    <t>Slider 4</t>
  </si>
  <si>
    <t>Slider 5</t>
  </si>
  <si>
    <t>Slider 6</t>
  </si>
  <si>
    <t>KING FA</t>
  </si>
  <si>
    <t>油压机</t>
  </si>
  <si>
    <t>2#</t>
  </si>
  <si>
    <t>TG3A0004695-01</t>
  </si>
  <si>
    <t>PA6+30GF%KA501</t>
  </si>
  <si>
    <t>`018999001</t>
  </si>
  <si>
    <t>N/A</t>
  </si>
  <si>
    <t>1+1</t>
  </si>
  <si>
    <t>72~109</t>
  </si>
  <si>
    <t>70%~90%</t>
  </si>
  <si>
    <t>Clamping Force
锁模力</t>
  </si>
  <si>
    <t>KN</t>
  </si>
  <si>
    <t>Tooling performance  模具动作</t>
  </si>
  <si>
    <t>Ejector move smoothly? 顶针是否顺畅?</t>
  </si>
  <si>
    <t>产品信息（Part Information)</t>
  </si>
  <si>
    <t>供应商
(Supplier)</t>
  </si>
  <si>
    <t>负责人
Owner</t>
  </si>
  <si>
    <t>试模日期
Shot data</t>
  </si>
  <si>
    <t>产品理论重量
Part evaluate weight
(g)</t>
  </si>
  <si>
    <t>实际重量
part actual weight
（g）</t>
  </si>
  <si>
    <t>水口重量
gate weight
(g)</t>
  </si>
  <si>
    <t>备注
Remark</t>
  </si>
  <si>
    <t>模具信息(Tooling information)</t>
  </si>
  <si>
    <t>模号(T/N)</t>
  </si>
  <si>
    <t>流道形式
Runner type</t>
  </si>
  <si>
    <t>周期
cycle time
（S）</t>
  </si>
  <si>
    <t>材料信息(Material information)</t>
  </si>
  <si>
    <t>品牌
Brand</t>
  </si>
  <si>
    <t>型号(TYPE)</t>
  </si>
  <si>
    <t>材料编号
Material number</t>
  </si>
  <si>
    <t>密度
Density（g/cm）</t>
  </si>
  <si>
    <r>
      <t xml:space="preserve">试模前含水率
</t>
    </r>
    <r>
      <rPr>
        <sz val="9"/>
        <color theme="1"/>
        <rFont val="Calibri"/>
        <family val="2"/>
        <scheme val="minor"/>
      </rPr>
      <t>Moisture content before shot</t>
    </r>
  </si>
  <si>
    <t>推荐烘烤时间
Drying Time(H)</t>
  </si>
  <si>
    <t>推荐模温
Recommended Mold temperature(°C)</t>
  </si>
  <si>
    <t>推荐烘烤温度
Recommended Drying temperature(°C)</t>
  </si>
  <si>
    <t>推荐料温
Recommended melt temperature(°C)</t>
  </si>
  <si>
    <t>材料MFR
Raw material MFR</t>
  </si>
  <si>
    <t>产品MFR
Part MFR</t>
  </si>
  <si>
    <t>试模机台( Injection machine)</t>
  </si>
  <si>
    <t>机台号
Machine number</t>
  </si>
  <si>
    <t>类型
Machine type</t>
  </si>
  <si>
    <t>吨位
Machine Size
（Ton）</t>
  </si>
  <si>
    <t>螺杆直径
Screw size)
（mm）</t>
  </si>
  <si>
    <t>最大注塑压力
Max injection pressure
（Mpa）</t>
  </si>
  <si>
    <t>最大液压压力
Max pump pressure
（Bar）</t>
  </si>
  <si>
    <t>最大射胶速度
Max injection speed
mm/s</t>
  </si>
  <si>
    <t>最大行程
Platen stroke
（mm）</t>
  </si>
  <si>
    <t>增强比
Intensification Ratio</t>
  </si>
  <si>
    <t>MF推荐压力
MF recommend Pressure
（Mpa）</t>
  </si>
  <si>
    <t>MF浇口冻结时间
MF gate freeze time
（s）</t>
  </si>
  <si>
    <t>MF推荐冷却时间
MF recommended cooling time （s）</t>
  </si>
  <si>
    <t>常用材料推荐滞留时间范围
The recommended retention time range for commonly used materials</t>
  </si>
  <si>
    <t>滞留时间
Retention time (min)</t>
  </si>
  <si>
    <t>常用材料名称 Material type</t>
  </si>
  <si>
    <t>说明 Instruction</t>
  </si>
  <si>
    <t>耐热性较好，但过长停留可能导致氧化降解。
It has good heat resistance, but excessive retention may lead to oxidative degradation</t>
  </si>
  <si>
    <t>类似PE，需避免高温下长时间停留。
Similar to PE, it is necessary to avoid staying at high temperatures for a long time.</t>
  </si>
  <si>
    <t>耐热性较好，但苯乙烯组分可能挥发，影响性能。
It has good heat resistance, but the styrene component may volatilize, affecting its performance.</t>
  </si>
  <si>
    <t>高温下易水解，需预干燥，停留时间可稍长。
It is prone to hydrolysis at high temperatures and requires pre-drying. The retention time can be slightly longer.</t>
  </si>
  <si>
    <t>吸湿性强，需干燥；高温下可能降解，时间不宜过长。
It has strong hygroscopicity and requires drying. It may degrade at high temperatures, but the time should not be too long.</t>
  </si>
  <si>
    <t>对过热敏感，易分解产生甲醛气体，需精确控制。
It is sensitive to overheating and prone to decomposition to produce formaldehyde gas, which requires precise control.</t>
  </si>
  <si>
    <t>易水解，需充分干燥；停留过长易导致粘度下降和降解。
It is prone to hydrolysis and requires thorough drying. Staying for too long can easily lead to a decrease in viscosity and degradation.</t>
  </si>
  <si>
    <t>类似PET，需快速加工避免降解。
Similar to PET, it needs to be processed quickly to avoid degradation.</t>
  </si>
  <si>
    <t>黏度高，停留过长可能导致交联或变色。
High viscosity. Prolonged residence may lead to cross-linking or discoloration.</t>
  </si>
  <si>
    <t>透明性要求高，需避免热分解导致的雾化。
High transparency is required, and fogging caused by thermal decomposition needs to be avoided</t>
  </si>
  <si>
    <t>耐高温性能优异，允许较长停留时间，但需避免局部过热。
It has excellent high-temperature resistance and allows for a longer residence time, but local overheating should be avoided.</t>
  </si>
  <si>
    <t>百分比(Percent)</t>
  </si>
  <si>
    <t>型腔平衡
CAV balance
(OK or NG)</t>
  </si>
  <si>
    <t>推荐保压压力
Recommended Hold pressure</t>
  </si>
  <si>
    <t>推荐保压时间
Recommended Hold time</t>
  </si>
  <si>
    <t>推荐锁模力
Recommended Clamping Force</t>
  </si>
  <si>
    <t>批准Approved：</t>
  </si>
  <si>
    <t>峰值压力占机台
最大压力%
Peak pressure accounts for the machine
Maximum pressure</t>
  </si>
  <si>
    <t>推荐填充速度
Recommended fill speed</t>
  </si>
  <si>
    <t>温度设置 Temperature set</t>
  </si>
  <si>
    <t>热流道温控箱（°C）
Hot runner temperature control box</t>
  </si>
  <si>
    <t>炮台温度(°C)
Barrel Temp</t>
  </si>
  <si>
    <t>射咀
Nozzle</t>
  </si>
  <si>
    <t>第一段
Zone1</t>
  </si>
  <si>
    <t>第二段
Zone2</t>
  </si>
  <si>
    <t>第三段
ZOne3</t>
  </si>
  <si>
    <t>第四段
Zone4</t>
  </si>
  <si>
    <t>第五段
Zone5</t>
  </si>
  <si>
    <t>前模温度CAV Temp</t>
  </si>
  <si>
    <t>后模温度COR Temp</t>
  </si>
  <si>
    <t>运水链接方式
Cooling In/Out</t>
  </si>
  <si>
    <t>Example（in 1==&gt;out 1==&gt;  in 2==&gt; ）</t>
  </si>
  <si>
    <t>Example:（in 1==&gt;out 1==&gt;  in 2==&gt; ）</t>
  </si>
  <si>
    <t>行位/其他 Slide/other</t>
  </si>
  <si>
    <t>设置温度°C
Set Temp °C</t>
  </si>
  <si>
    <t>前模实际模温(°C)
Act. Temp of the CAV side(°C)</t>
  </si>
  <si>
    <t>后模实际模温(°C)
Act. Temp of the COR side(°C)</t>
  </si>
  <si>
    <t>粘度曲线 Viscosity Curve</t>
  </si>
  <si>
    <t>有效粘度  Effective Viscosity</t>
  </si>
  <si>
    <t>填充速度
Fill speed</t>
  </si>
  <si>
    <t>切换位置
Switch position</t>
  </si>
  <si>
    <t>填充时间
Fill time</t>
  </si>
  <si>
    <t>注塑峰值压力
Injection peak pressure</t>
  </si>
  <si>
    <t>剪切率
Shear rate</t>
  </si>
  <si>
    <t>有效粘度
Effective Viscosity</t>
  </si>
  <si>
    <t>推荐注塑速度
Recommended injection speed</t>
  </si>
  <si>
    <t>百分比 
Percent</t>
  </si>
  <si>
    <t>动态压力降测试Dynamic pressure  test</t>
  </si>
  <si>
    <t>目的（PURPOSE）
确定在填充过程中注射压力的损失情况。
Determine the loss of injection pressure during the filling process.
试验方法（PROCEDURE)
1.只设置一段填充，关闭保压压力和保压时间。
Only set one stage of filling, and close the holding pressure and holding time.
2.设置根据粘度曲线找到的最佳射胶速度为填充速度。
Set the optimal injection speed found based on the viscosity curve as the filling speed
3.后退炮台空射，记录压力峰值。
Withdraw the nozzle for empty shooting and record the peak pressure.
4.调整射胶位置，使熔胶刚好填充满主流道，记录压力峰值
Adjust the injection position, just fill the main runner, and record the peak pressure
5.调整射胶位置，使熔胶填充主流道和分流道，记录压力峰值
Adjust the injection position to fill the main runner and the distribution runner, and record the peak pressure
6.调整射胶位置，使熔胶刚好通过进浇口，记录压力峰值
Adjust the injection position, just passe through the gate, and record the peak pressure
7.调整射胶位置，使熔胶填满型腔50%，记录压力峰值
Adjust the injection position to fill 50% of the cavity, and record the peak pressure
8.调整射胶位置，使熔胶填满型腔99%，记录压力峰值
Adjust the injection position to  fill 99% of the cavity, and record the peak pressure
9.绘制压力损失图，分析压力损失是否合理（自动）
Draw the pressure loss graph and analyze whether the pressure loss is reasonable (Automatic)</t>
  </si>
  <si>
    <t>压力单位(Pressure unit)</t>
  </si>
  <si>
    <t>序号
Number</t>
  </si>
  <si>
    <t>流动截面
Flow section</t>
  </si>
  <si>
    <t>峰值压力
Peak pressure</t>
  </si>
  <si>
    <t>喷咀Nozzle</t>
  </si>
  <si>
    <t>流道Runner</t>
  </si>
  <si>
    <t>浇口Gate</t>
  </si>
  <si>
    <t>50%产品
fill 50% part</t>
  </si>
  <si>
    <t>产品V/P
V/P part</t>
  </si>
  <si>
    <t>填充V/P位置
的压力
V/P pressure</t>
  </si>
  <si>
    <t>峰值压力占机台最大压力%
Peak pressure accounts for the machine
Maximum pressure</t>
  </si>
  <si>
    <t>目的（PURPOSE）
找到最佳射胶速度
Find the optimal injection speed.
试验方法（PROCEDURE）
1.只设置一段填充，关闭保压压力和保压时间
Only set one stage of filling, and close the holding pressure and holding time.
2.设置高压高速，调整螺杆位置找到产品外形90%-95%的状态
Set high pressure and high speed, and adjust the position of the screw to reach 90%-95% of the fill.
3.从高速至低速开始测试。
Start the test from high speed to low speed.
4.从高速到低速记录填充峰值压力和填充时间
Record the peak filling pressure and filling time from high speed to low speed.
5.计算剪切速率和有效粘度（自动）
Calculate shear rate and effective viscosity (Automatic)
6.绘制粘度曲线（自动）
Draw viscosity curve (Automatic).
7.选择有效粘度曲线图中有效粘度趋于平缓区域对应的剪切速率，根据最佳剪切速率区间从而选出最佳射胶速度区间。
Select the shear rate corresponding to the area where the effective viscosity tends to be flat in the effective viscosity curve graph, and then select the optimal injection speed range based on the optimal shear rate range</t>
  </si>
  <si>
    <t>百分比 Percent</t>
  </si>
  <si>
    <t>型腔平衡测试 CAV balance test</t>
  </si>
  <si>
    <t>多腔同一产品模具 Multi-cavities mold for the same product</t>
  </si>
  <si>
    <t>短射产品体积20%~70%
The volume of short-shot products is 20% to 70%</t>
  </si>
  <si>
    <t>短射产品VP位置
The VP position of short-shot products</t>
  </si>
  <si>
    <t>型腔#
Cav#</t>
  </si>
  <si>
    <t>型腔#
Cav #</t>
  </si>
  <si>
    <t>最大值：
Min value</t>
  </si>
  <si>
    <t>最小值：
Min value</t>
  </si>
  <si>
    <t>最小值：
Min Value</t>
  </si>
  <si>
    <t>不平衡程度
Degree of imbalance</t>
  </si>
  <si>
    <t>推荐判定标准：小于或等于3% 为OK.
Recommended judgment criterion: less than or equal to 3% is considered OK.</t>
  </si>
  <si>
    <t>家族模具 Family mold</t>
  </si>
  <si>
    <t>照片
Picture</t>
  </si>
  <si>
    <t>平均值
Ave（g）</t>
  </si>
  <si>
    <t>平均值
Ave （g）</t>
  </si>
  <si>
    <t>平均重量
Ave weight
（g）</t>
  </si>
  <si>
    <t>偏差
Deviation</t>
  </si>
  <si>
    <t>占理论总重量百分比
Percentage of the theoretical total weight</t>
  </si>
  <si>
    <t>推荐判定标准：小于或等于3% 为OK, 当大于3% 时需要目视判断是否OK
Recommended judgment criterion: less than or equal to 3% is considered OK.</t>
  </si>
  <si>
    <t>结果判定
Result determination</t>
  </si>
  <si>
    <t>压力工艺窗口 Pressure process window</t>
  </si>
  <si>
    <t>产品外观
part appearance</t>
  </si>
  <si>
    <t>产品缩水
shrink</t>
  </si>
  <si>
    <t>产品披风
flash</t>
  </si>
  <si>
    <t>保压压力(Bar)
holding pressure</t>
  </si>
  <si>
    <t>保压时间(s)
holding time</t>
  </si>
  <si>
    <t>产品重量(g)
Part weight</t>
  </si>
  <si>
    <t>最小压力(Bar)
Min pressure</t>
  </si>
  <si>
    <t>最大压力(Bar)
Max pressure</t>
  </si>
  <si>
    <t>推荐压力(Bar)
recommended pressure</t>
  </si>
  <si>
    <t>浇口冻结Gate freezing test</t>
  </si>
  <si>
    <t>模次
shot</t>
  </si>
  <si>
    <t>保压时间
holding time(s)</t>
  </si>
  <si>
    <t>零件重量
Part weight(g)</t>
  </si>
  <si>
    <t>浇口冻结时间
gate freexing time(S)</t>
  </si>
  <si>
    <t>推荐保压时间
recommended holding pressure time（S）</t>
  </si>
  <si>
    <t>锁模力优化Optimization of clamping force</t>
  </si>
  <si>
    <t>压力单位
Pressure unit</t>
  </si>
  <si>
    <t xml:space="preserve">锁模力
clamping force
</t>
  </si>
  <si>
    <t>产品重量
Part weight
（g）</t>
  </si>
  <si>
    <t>产品外观（是否有披风)
Part appearance</t>
  </si>
  <si>
    <t>合模最大液压压力
Maximum hydraulic pressure for mold closing</t>
  </si>
  <si>
    <t>推荐锁模力(Ton)
Recommended clamping force</t>
  </si>
  <si>
    <t>理论总重量
(evaluate total weight)
shot(g)</t>
  </si>
  <si>
    <t>Sub gate</t>
  </si>
  <si>
    <t>流程图 flow diagram</t>
  </si>
  <si>
    <t>颜色
color</t>
  </si>
  <si>
    <t>结果判定：Sensor曲线正常，压力合理，连续注塑曲线波动在5%以内
Result determination: The Sensor curve is normal, the pressure is reasonable, and the fluctuation of the continuous injection molding curve is within 5%</t>
  </si>
  <si>
    <t xml:space="preserve">备注：动态压力降测试属于选做项
填充到产品体积99%，推荐达到粘度曲线找到的填充速度所需的填充压力不超过机台最大压力的85%
Note: The dynamic pressure test is an optional item. 
Fill up to 99% of the product volume. It is recommended that the filling pressure required to reach the filling speed found by the viscosity curve does not exceed 85% of the maximum pressure of the machine
</t>
  </si>
  <si>
    <t>占总胶量百分比/shot
（推荐大于20%并小于85%）
Percentage of total volume /shot
(Recommended to be more than 20% and less than 85%)</t>
  </si>
  <si>
    <t xml:space="preserve">推荐最长滞留时间范围(min)
The recommended maximum retention time range </t>
  </si>
  <si>
    <t>双色模
2K mold</t>
  </si>
  <si>
    <t>温度设定
Temp. Setting</t>
  </si>
  <si>
    <t>粘度曲线
Viscosity Curve</t>
  </si>
  <si>
    <t>动态压力降
Dynamic Pressure Drop</t>
  </si>
  <si>
    <t>型腔平衡
Cavity Balance</t>
  </si>
  <si>
    <t>压力工艺窗口
Pressure Process Window</t>
  </si>
  <si>
    <t>浇口冻结测试
gate freezingtest</t>
  </si>
  <si>
    <t>锁模力优化
Optimization of clamping force</t>
  </si>
  <si>
    <t>Over mold（soft plastic）</t>
  </si>
  <si>
    <t>热流道模具
Hot Runner Mold</t>
  </si>
  <si>
    <t>气辅模具
Gas-Assisted Mold</t>
  </si>
  <si>
    <t>单腔模具
Single Cavity Mold</t>
  </si>
  <si>
    <t>选做
Optional</t>
  </si>
  <si>
    <t>1shot 胶量体积/注塑机总胶量≤20%
The volume of 1shot /the total  volume of the injection machine≤20%</t>
  </si>
  <si>
    <t>模具类型
Mold Tpye</t>
  </si>
  <si>
    <t xml:space="preserve">目的（PURPOSE）
确认浇口冻结时间，确认保压时间
Confirm the freezing time of the gate and the holding pressure time
试验方法(（PROCEDURE)
1.调整合适的锁模力。
Adjust the appropriate clamping force.
2.只射定一段填充，设置根据粘度曲线找到的最佳射胶速度为填充速度，并调整填充位置到VP位置。
Only set one stage of filling, the optimal injection speed found based on the viscosity curve is set as the filling speed                                                                         and adjust the position of the screw to the V/P.
3. 只设定一段保压，设置根据压力测试得出的最佳保压压力。
Only set one stage of holding pressure and set the optimal holding pressure obtained based on the pressure test.
4.从低到高设置保压时间分别记录产品重量。
Set the holding pressure time from low to high and record the product weight respectively.
5.当产品重量不再增加时对应的时间为浇口冻结时间。
The time corresponding to when the product weight no longer increases is the gate freezing time
6.以下类型模具选择产品重量增加缓慢时对应的时间为保压时间。
 For the following types of molds, the holding pressure time is determined as the time point at which the product mass increment exhibits a significant rate reduction.
a) 注塑材料流动性非常好（如TPE，TPU等）浇口无法短时间冻结。
Molds using injection materials with high fluidity (e.g., TPE, TPU), where the gate cannot freeze within a short time.
b)热流道模具，直接浇口模具，浇口无法短时间冻结或无法冻结
Hot-runner molds or direct-gate molds, where the gate either fails to solidify within a short time or remains unfrozen entirely.
</t>
  </si>
  <si>
    <t xml:space="preserve">目的（PURPOSE）
找到最佳锁模力
Find the optimal clamping force
试验方法(（PROCEDURE)
1.只射定一段填充，设置根据粘度曲线找到的最佳射胶速度为填充速度，并调整填充位置到VP位置。
Only set one stage of filling, the optimal injection speed found based on the viscosity curve is set as the filling speed                                                                         and adjust the position of the screw to the V/P.
2. 只设置一段保压，设置根据压力工艺窗口测试得出的最佳保压压力.
Only set one stage of holding pressure,and the optimal holding pressure is determined based on the pressure process window test.
3.设置根据浇口冻结测试找到的最佳保压时间
Set the optimal holding pressure time found based on the gate freezing test
4.不断降低锁模力分别称重记录并检查产品外观
Continuously reduce the clamping force, weigh and record respectively, and inspect the appearance of the product
4.直到产品重量发生变化并检查PL面是否产生披风
Until the product weight changes and check if appear flash on the PL surface
5.默认不需要添加产品外观照片，根据客户需求特殊case需要添加照片
By default, product appearance photos are not required to be included unless specifically requested by customers for special cases.
</t>
  </si>
  <si>
    <t xml:space="preserve">目的（PURPOSE）
找到最佳保压压力
Find the optimal pressure-holding pressure.
试验方法(（PROCEDURE)
1.调整合适的锁模力
Adjust the appropriate clamping force.
2.只射定一段填充，设置根据粘度曲线找到的最佳射胶速度为填充速度，并调整填充位置到VP位置。
Only set one stage of filling, the optimal injection speed found based on the viscosity curve is set as the filling speed and adjust the position of the screw to the V/P.
3.设置尽可能长的保压时间（大于浇口冻结时间）
Set the holding pressure time as long as possible (longer than the gate freezing time).
4.保压压力从低到高分别记录产品重量并观察外观情况直到产品PL披风
Record the weight of the products from low to high holding pressure and observe the appearance until the flash is appearing.
5.找到产品外观合格最低压力和最高压力窗口.
Find the minimum and maximum pressure Windows for the qualified appearance of the product
7.取最低压力和最高压力中值为最佳保压压力
Take the median of the lowest pressure and the highest pressure as the optimal holding pressure
8.默认不需要添加产品外观照片，根据客户需求特殊case需要添加照片
By default, product appearance photos are not required to be included unless specifically requested by customers for special cases.
</t>
  </si>
  <si>
    <t>1shot 短射照片
（必填）</t>
  </si>
  <si>
    <t>1shot 短射照片
必填</t>
  </si>
  <si>
    <t>目的 （PURPOSE）
确认多型腔模具的平衡性
Confirm the balance of the multi-cavities mold
试验方法（PROCEDURE)
1.只设定一段填充，关掉保压压力和时间
Only set one stage of filling, and close the holding pressure and holding time.
2.设置根据粘度曲线找到的最佳射胶速度为填充速度。
Set the optimal injection speed found based on the viscosity curve as the filling speed.
3.待注塑稳定后分别注塑一模短射20%~70%和VP位置的零件，称重每个零件的重量计算3pcs平均重量。
3. After the injection molding is stable, inject 20%~70% of the parts and those at the VP position in one mold respectively. Weigh the weight of each part and calculate the average weight of 3 pcs.
4.计算不平衡程度（自动）
Calculate the degree of imbalance (Automatic)
5.如果目视平衡结果与重量占总量百分比平衡偏差比较大以目视平衡为准
If the visual balance result deviates significantly from the weight as a percentage of the total weight, the visual balance shall prevail</t>
  </si>
  <si>
    <t xml:space="preserve">目的（PURPOSE）
确认多型腔模具的平衡性
Confirm the balance of the multi-cavities mold
试验方法（PROCEDURE)
1.只设定一段填充，关掉保压压力和时间
Only set one stage of filling, and close the holding pressure and holding time.
2.设置根据粘度曲线找到的最佳射胶速度为填充速度。
Set the optimal injection speed found based on the viscosity curve as the filling speed.
3.待注塑稳定后分别注塑一模短射20%~70%和VP位置的零件，称重每个零件的重量计算3pcs平均重量。
After the injection molding is stable, inject 20% to 70% of the parts and those at the VP position in one mold respectively. Weigh the weight of each part and calculate the average weight of 3 pcs..
4.计算不平衡程度（自动） 
Calculate the degree of imbalance (Automatic)
5.当产品重量≤1g,普通称无法满足称重精度，建议用目视判断型腔平衡。
When the product weight is ≤1g, it cannot meet the weighing accuracy requirements. It is recommended to visually judge the balance of the cavity.
</t>
  </si>
  <si>
    <t>选填</t>
  </si>
  <si>
    <t>Sensor location</t>
  </si>
  <si>
    <t>传感器基准曲线 Sensor Baseline‌ Curve</t>
  </si>
  <si>
    <t>Sensor Baseline‌ Curve</t>
  </si>
  <si>
    <t xml:space="preserve">备注Note：
1.除表格模具类型以外的模具科学注塑需要做所有测试项
All test items need to be conducted for scientific injection molding of molds other than the mold types in the table.
2.双色模只做产品占比大的主胶位那一射
For 2K Molds, only the main shot (the shot with the larger product portion) is tested.
3.当做粘度测试时设置最佳速度时对应压力如果大于机台最大注塑压力的85%时则动态压力降测试必做项
 低于机台最大注塑压力85%时动态压力测试 为选做项，适用所有模具  
Applicable to all molds，When setting optimal  speed for the Viscosity test, if the corresponding pressure exceeds 85% of the machine's maximum injection pressure, the Dynamic Pressure Drop test becomes mandatory. If below 85%, it remains optional. </t>
  </si>
  <si>
    <t xml:space="preserve">MIL 科学注塑适用范围
MIL Scientific Molding Applicable Scope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</si>
</sst>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0.0%"/>
  </numFmts>
  <fonts count="48" x14ac:knownFonts="1">
    <font>
      <sz val="11"/>
      <color theme="1"/>
      <name val="Calibri"/>
      <family val="2"/>
      <scheme val="minor"/>
    </font>
    <font>
      <sz val="16"/>
      <color theme="1"/>
      <name val="Calibri"/>
      <family val="2"/>
      <scheme val="minor"/>
    </font>
    <font>
      <sz val="18"/>
      <color theme="1"/>
      <name val="Calibri"/>
      <family val="2"/>
      <scheme val="minor"/>
    </font>
    <font>
      <sz val="22"/>
      <color theme="1"/>
      <name val="Calibri"/>
      <family val="2"/>
      <scheme val="minor"/>
    </font>
    <font>
      <sz val="24"/>
      <color theme="1"/>
      <name val="Calibri"/>
      <family val="2"/>
      <scheme val="minor"/>
    </font>
    <font>
      <sz val="12"/>
      <color theme="1"/>
      <name val="Calibri"/>
      <family val="2"/>
      <scheme val="minor"/>
    </font>
    <font>
      <b/>
      <sz val="36"/>
      <name val="Calibri"/>
      <family val="2"/>
      <scheme val="minor"/>
    </font>
    <font>
      <sz val="36"/>
      <name val="Calibri"/>
      <family val="2"/>
      <scheme val="minor"/>
    </font>
    <font>
      <sz val="12"/>
      <name val="Calibri"/>
      <family val="2"/>
      <scheme val="minor"/>
    </font>
    <font>
      <b/>
      <sz val="18"/>
      <name val="Calibri"/>
      <family val="2"/>
      <scheme val="minor"/>
    </font>
    <font>
      <b/>
      <sz val="16"/>
      <name val="Calibri"/>
      <family val="2"/>
      <scheme val="minor"/>
    </font>
    <font>
      <b/>
      <sz val="20"/>
      <name val="Calibri"/>
      <family val="2"/>
      <scheme val="minor"/>
    </font>
    <font>
      <b/>
      <sz val="14"/>
      <name val="Calibri"/>
      <family val="2"/>
      <scheme val="minor"/>
    </font>
    <font>
      <b/>
      <sz val="14"/>
      <color indexed="12"/>
      <name val="Calibri"/>
      <family val="2"/>
      <scheme val="minor"/>
    </font>
    <font>
      <b/>
      <sz val="14"/>
      <color indexed="8"/>
      <name val="Calibri"/>
      <family val="2"/>
      <scheme val="minor"/>
    </font>
    <font>
      <b/>
      <sz val="12"/>
      <name val="Calibri"/>
      <family val="2"/>
      <scheme val="minor"/>
    </font>
    <font>
      <b/>
      <sz val="14"/>
      <color rgb="FFFF0000"/>
      <name val="Calibri"/>
      <family val="2"/>
      <scheme val="minor"/>
    </font>
    <font>
      <sz val="14"/>
      <name val="Calibri"/>
      <family val="2"/>
      <scheme val="minor"/>
    </font>
    <font>
      <b/>
      <sz val="11"/>
      <color theme="1"/>
      <name val="Calibri"/>
      <family val="2"/>
      <scheme val="minor"/>
    </font>
    <font>
      <b/>
      <sz val="22"/>
      <color theme="1"/>
      <name val="Calibri"/>
      <family val="2"/>
      <scheme val="minor"/>
    </font>
    <font>
      <sz val="10"/>
      <color theme="1"/>
      <name val="Calibri"/>
      <family val="2"/>
      <scheme val="minor"/>
    </font>
    <font>
      <b/>
      <sz val="10"/>
      <color theme="1"/>
      <name val="Calibri"/>
      <family val="2"/>
      <scheme val="minor"/>
    </font>
    <font>
      <b/>
      <sz val="12"/>
      <color theme="1"/>
      <name val="Calibri"/>
      <family val="2"/>
      <scheme val="minor"/>
    </font>
    <font>
      <sz val="9"/>
      <color theme="1"/>
      <name val="Calibri"/>
      <family val="2"/>
      <scheme val="minor"/>
    </font>
    <font>
      <sz val="8"/>
      <color theme="1"/>
      <name val="Calibri"/>
      <family val="2"/>
      <scheme val="minor"/>
    </font>
    <font>
      <b/>
      <sz val="9"/>
      <color theme="1"/>
      <name val="Calibri"/>
      <family val="2"/>
      <scheme val="minor"/>
    </font>
    <font>
      <sz val="11"/>
      <color rgb="FF000000"/>
      <name val="Arial"/>
      <family val="2"/>
    </font>
    <font>
      <sz val="11"/>
      <color rgb="FF000000"/>
      <name val="Calibri Light"/>
      <family val="2"/>
      <scheme val="major"/>
    </font>
    <font>
      <b/>
      <sz val="11"/>
      <color rgb="FF000000"/>
      <name val="Calibri Light"/>
      <family val="2"/>
      <scheme val="major"/>
    </font>
    <font>
      <b/>
      <sz val="11"/>
      <color theme="1"/>
      <name val="Calibri Light"/>
      <family val="2"/>
      <scheme val="major"/>
    </font>
    <font>
      <sz val="11"/>
      <name val="Arial"/>
      <family val="2"/>
    </font>
    <font>
      <sz val="11"/>
      <name val="Calibri Light"/>
      <family val="2"/>
      <scheme val="major"/>
    </font>
    <font>
      <sz val="9"/>
      <name val="Calibri Light"/>
      <family val="2"/>
      <scheme val="major"/>
    </font>
    <font>
      <b/>
      <sz val="14"/>
      <color theme="1"/>
      <name val="Calibri"/>
      <family val="2"/>
      <scheme val="minor"/>
    </font>
    <font>
      <sz val="10"/>
      <name val="Arial"/>
      <family val="2"/>
    </font>
    <font>
      <b/>
      <sz val="10"/>
      <color rgb="FF000000"/>
      <name val="Calibri Light"/>
      <family val="2"/>
      <scheme val="major"/>
    </font>
    <font>
      <sz val="10"/>
      <color rgb="FF000000"/>
      <name val="Calibri Light"/>
      <family val="2"/>
      <scheme val="major"/>
    </font>
    <font>
      <sz val="9"/>
      <color rgb="FF404040"/>
      <name val="Segoe UI"/>
      <family val="2"/>
    </font>
    <font>
      <sz val="10"/>
      <name val="Calibri Light"/>
      <family val="2"/>
      <scheme val="major"/>
    </font>
    <font>
      <sz val="10"/>
      <color rgb="FF000000"/>
      <name val="Arial"/>
      <family val="2"/>
    </font>
    <font>
      <sz val="14"/>
      <color theme="1"/>
      <name val="Calibri"/>
      <family val="2"/>
      <scheme val="minor"/>
    </font>
    <font>
      <sz val="8"/>
      <name val="Calibri"/>
      <family val="2"/>
      <scheme val="minor"/>
    </font>
    <font>
      <b/>
      <sz val="8"/>
      <color theme="1"/>
      <name val="Calibri"/>
      <family val="2"/>
      <scheme val="minor"/>
    </font>
    <font>
      <sz val="7"/>
      <color theme="1"/>
      <name val="Calibri"/>
      <family val="2"/>
      <scheme val="minor"/>
    </font>
    <font>
      <b/>
      <sz val="9"/>
      <color rgb="FF000000"/>
      <name val="Calibri Light"/>
      <family val="2"/>
      <scheme val="major"/>
    </font>
    <font>
      <sz val="9"/>
      <name val="Arial"/>
      <family val="2"/>
    </font>
    <font>
      <b/>
      <sz val="11"/>
      <name val="Calibri"/>
      <family val="2"/>
      <scheme val="minor"/>
    </font>
    <font>
      <sz val="26"/>
      <color theme="1"/>
      <name val="Calibri"/>
      <family val="2"/>
      <scheme val="minor"/>
    </font>
  </fonts>
  <fills count="15">
    <fill>
      <patternFill patternType="none"/>
    </fill>
    <fill>
      <patternFill patternType="gray125"/>
    </fill>
    <fill>
      <patternFill patternType="solid">
        <fgColor theme="3" tint="0.79998168889431442"/>
        <bgColor indexed="64"/>
      </patternFill>
    </fill>
    <fill>
      <patternFill patternType="solid">
        <fgColor rgb="FFFFFF0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bgColor indexed="64"/>
      </patternFill>
    </fill>
    <fill>
      <patternFill patternType="solid">
        <fgColor rgb="FFFF0000"/>
        <bgColor indexed="64"/>
      </patternFill>
    </fill>
    <fill>
      <patternFill patternType="solid">
        <fgColor theme="9" tint="-0.249977111117893"/>
        <bgColor indexed="64"/>
      </patternFill>
    </fill>
  </fills>
  <borders count="16">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auto="1"/>
      </top>
      <bottom style="thin">
        <color auto="1"/>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right/>
      <top style="thin">
        <color indexed="64"/>
      </top>
      <bottom/>
      <diagonal/>
    </border>
  </borders>
  <cellStyleXfs count="1">
    <xf numFmtId="0" fontId="0" fillId="0" borderId="0"/>
  </cellStyleXfs>
  <cellXfs count="385">
    <xf numFmtId="0" fontId="0" fillId="0" borderId="0" xfId="0"/>
    <xf numFmtId="0" fontId="8" fillId="0" borderId="0" xfId="0" applyFont="1" applyAlignment="1">
      <alignment vertical="center" wrapText="1"/>
    </xf>
    <xf numFmtId="0" fontId="9" fillId="0" borderId="9" xfId="0" applyFont="1" applyBorder="1" applyAlignment="1">
      <alignment vertical="center" wrapText="1"/>
    </xf>
    <xf numFmtId="0" fontId="10" fillId="0" borderId="9" xfId="0" applyFont="1" applyBorder="1" applyAlignment="1">
      <alignment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5" fillId="3" borderId="1" xfId="0" applyFont="1" applyFill="1" applyBorder="1" applyAlignment="1">
      <alignment vertical="center" wrapText="1"/>
    </xf>
    <xf numFmtId="0" fontId="12" fillId="3"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4" fillId="0" borderId="2" xfId="0" applyFont="1" applyBorder="1" applyAlignment="1">
      <alignment horizontal="center" vertical="center" wrapText="1"/>
    </xf>
    <xf numFmtId="2" fontId="12" fillId="2" borderId="1" xfId="0" applyNumberFormat="1" applyFont="1" applyFill="1" applyBorder="1" applyAlignment="1">
      <alignment horizontal="center" vertical="center" wrapText="1"/>
    </xf>
    <xf numFmtId="0" fontId="12" fillId="0" borderId="3" xfId="0" applyFont="1" applyBorder="1" applyAlignment="1">
      <alignment vertical="center" wrapText="1"/>
    </xf>
    <xf numFmtId="0" fontId="12" fillId="5" borderId="10" xfId="0" applyFont="1" applyFill="1" applyBorder="1" applyAlignment="1">
      <alignment horizontal="center" vertical="center" wrapText="1"/>
    </xf>
    <xf numFmtId="0" fontId="12" fillId="5" borderId="5" xfId="0" applyFont="1" applyFill="1" applyBorder="1" applyAlignment="1">
      <alignment horizontal="center" vertical="center" wrapText="1"/>
    </xf>
    <xf numFmtId="0" fontId="12" fillId="6" borderId="2" xfId="0" applyFont="1" applyFill="1" applyBorder="1" applyAlignment="1">
      <alignment horizontal="center" vertical="center" wrapText="1"/>
    </xf>
    <xf numFmtId="0" fontId="12" fillId="7" borderId="10" xfId="0" applyFont="1" applyFill="1" applyBorder="1" applyAlignment="1">
      <alignment horizontal="center" vertical="center" wrapText="1"/>
    </xf>
    <xf numFmtId="0" fontId="12" fillId="5" borderId="1" xfId="0" applyFont="1" applyFill="1" applyBorder="1" applyAlignment="1">
      <alignment horizontal="center" vertical="center" wrapText="1"/>
    </xf>
    <xf numFmtId="0" fontId="12" fillId="5" borderId="1" xfId="0" applyFont="1" applyFill="1" applyBorder="1" applyAlignment="1">
      <alignment vertical="center" wrapText="1"/>
    </xf>
    <xf numFmtId="0" fontId="12" fillId="7" borderId="1" xfId="0" applyFont="1" applyFill="1" applyBorder="1" applyAlignment="1">
      <alignment horizontal="center" vertical="center" wrapText="1"/>
    </xf>
    <xf numFmtId="0" fontId="12" fillId="7" borderId="1" xfId="0" applyFont="1" applyFill="1" applyBorder="1" applyAlignment="1">
      <alignment vertical="center" wrapText="1"/>
    </xf>
    <xf numFmtId="0" fontId="16" fillId="5" borderId="1" xfId="0" applyFont="1" applyFill="1" applyBorder="1" applyAlignment="1">
      <alignment vertical="center" wrapText="1"/>
    </xf>
    <xf numFmtId="0" fontId="12" fillId="3" borderId="1" xfId="0" applyFont="1" applyFill="1" applyBorder="1" applyAlignment="1">
      <alignment vertical="center" wrapText="1"/>
    </xf>
    <xf numFmtId="0" fontId="12" fillId="8" borderId="1" xfId="0" applyFont="1" applyFill="1" applyBorder="1" applyAlignment="1">
      <alignment horizontal="right" vertical="center" wrapText="1"/>
    </xf>
    <xf numFmtId="0" fontId="15" fillId="4" borderId="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2" fillId="0" borderId="1" xfId="0" applyFont="1" applyBorder="1" applyAlignment="1">
      <alignment horizontal="right" vertical="center" wrapText="1"/>
    </xf>
    <xf numFmtId="0" fontId="12" fillId="0" borderId="1" xfId="0" applyFont="1" applyBorder="1" applyAlignment="1">
      <alignment vertical="center" wrapText="1"/>
    </xf>
    <xf numFmtId="0" fontId="12" fillId="0" borderId="1" xfId="0" applyFont="1" applyBorder="1" applyAlignment="1">
      <alignment horizontal="left" vertical="center" wrapText="1"/>
    </xf>
    <xf numFmtId="0" fontId="8" fillId="0" borderId="0" xfId="0" applyFont="1" applyAlignment="1">
      <alignment horizontal="left" vertical="center"/>
    </xf>
    <xf numFmtId="0" fontId="8" fillId="0" borderId="0" xfId="0" applyFont="1" applyAlignment="1">
      <alignment vertical="center"/>
    </xf>
    <xf numFmtId="0" fontId="0" fillId="12" borderId="0" xfId="0" applyFill="1"/>
    <xf numFmtId="0" fontId="0" fillId="12" borderId="0" xfId="0" applyFill="1" applyAlignment="1">
      <alignment horizontal="center"/>
    </xf>
    <xf numFmtId="10" fontId="0" fillId="12" borderId="1" xfId="0" applyNumberFormat="1" applyFill="1" applyBorder="1" applyAlignment="1">
      <alignment horizontal="center" vertical="center"/>
    </xf>
    <xf numFmtId="0" fontId="20" fillId="12" borderId="1" xfId="0" applyFont="1" applyFill="1" applyBorder="1" applyAlignment="1">
      <alignment horizontal="center" vertical="center" wrapText="1"/>
    </xf>
    <xf numFmtId="0" fontId="20" fillId="12" borderId="1" xfId="0" applyFont="1" applyFill="1" applyBorder="1" applyAlignment="1">
      <alignment horizontal="center" vertical="center"/>
    </xf>
    <xf numFmtId="10" fontId="23" fillId="12" borderId="1" xfId="0" applyNumberFormat="1" applyFont="1" applyFill="1" applyBorder="1" applyAlignment="1">
      <alignment horizontal="center" vertical="center"/>
    </xf>
    <xf numFmtId="0" fontId="26" fillId="12" borderId="1" xfId="0" applyFont="1" applyFill="1" applyBorder="1" applyAlignment="1">
      <alignment horizontal="center" vertical="center" wrapText="1" readingOrder="1"/>
    </xf>
    <xf numFmtId="0" fontId="28" fillId="12" borderId="1" xfId="0" applyFont="1" applyFill="1" applyBorder="1" applyAlignment="1">
      <alignment horizontal="center" vertical="center" wrapText="1" readingOrder="1"/>
    </xf>
    <xf numFmtId="0" fontId="29" fillId="12" borderId="1" xfId="0" applyFont="1" applyFill="1" applyBorder="1" applyAlignment="1">
      <alignment horizontal="center" vertical="center" wrapText="1" readingOrder="1"/>
    </xf>
    <xf numFmtId="0" fontId="27" fillId="12" borderId="1" xfId="0" applyFont="1" applyFill="1" applyBorder="1" applyAlignment="1">
      <alignment horizontal="center" vertical="center" wrapText="1" readingOrder="1"/>
    </xf>
    <xf numFmtId="0" fontId="30" fillId="12" borderId="1" xfId="0" applyFont="1" applyFill="1" applyBorder="1" applyAlignment="1">
      <alignment horizontal="center" vertical="center" wrapText="1"/>
    </xf>
    <xf numFmtId="0" fontId="39" fillId="12" borderId="1" xfId="0" applyFont="1" applyFill="1" applyBorder="1" applyAlignment="1">
      <alignment horizontal="center" vertical="center" wrapText="1" readingOrder="1"/>
    </xf>
    <xf numFmtId="164" fontId="39" fillId="12" borderId="1" xfId="0" applyNumberFormat="1" applyFont="1" applyFill="1" applyBorder="1" applyAlignment="1">
      <alignment horizontal="center" vertical="center" wrapText="1" readingOrder="1"/>
    </xf>
    <xf numFmtId="0" fontId="25" fillId="12" borderId="1" xfId="0" applyFont="1" applyFill="1" applyBorder="1" applyAlignment="1">
      <alignment horizontal="center" vertical="center" wrapText="1" readingOrder="1"/>
    </xf>
    <xf numFmtId="0" fontId="35" fillId="12" borderId="1" xfId="0" applyFont="1" applyFill="1" applyBorder="1" applyAlignment="1">
      <alignment horizontal="center" vertical="center" wrapText="1" readingOrder="1"/>
    </xf>
    <xf numFmtId="0" fontId="38" fillId="12" borderId="1" xfId="0" applyFont="1" applyFill="1" applyBorder="1" applyAlignment="1">
      <alignment horizontal="center" vertical="center" wrapText="1"/>
    </xf>
    <xf numFmtId="0" fontId="36" fillId="12" borderId="1" xfId="0" applyFont="1" applyFill="1" applyBorder="1" applyAlignment="1">
      <alignment horizontal="center" vertical="center" wrapText="1" readingOrder="1"/>
    </xf>
    <xf numFmtId="0" fontId="34" fillId="12" borderId="1" xfId="0" applyFont="1" applyFill="1" applyBorder="1" applyAlignment="1">
      <alignment horizontal="center" vertical="center" wrapText="1"/>
    </xf>
    <xf numFmtId="0" fontId="23" fillId="12" borderId="1" xfId="0" applyFont="1" applyFill="1" applyBorder="1" applyAlignment="1">
      <alignment horizontal="center" vertical="center"/>
    </xf>
    <xf numFmtId="0" fontId="24" fillId="12" borderId="13" xfId="0" applyFont="1" applyFill="1" applyBorder="1"/>
    <xf numFmtId="0" fontId="24" fillId="12" borderId="0" xfId="0" applyFont="1" applyFill="1"/>
    <xf numFmtId="0" fontId="24" fillId="12" borderId="14" xfId="0" applyFont="1" applyFill="1" applyBorder="1"/>
    <xf numFmtId="0" fontId="24" fillId="12" borderId="0" xfId="0" applyFont="1" applyFill="1" applyAlignment="1">
      <alignment horizontal="center"/>
    </xf>
    <xf numFmtId="0" fontId="0" fillId="12" borderId="6" xfId="0" applyFill="1" applyBorder="1"/>
    <xf numFmtId="0" fontId="0" fillId="12" borderId="9" xfId="0" applyFill="1" applyBorder="1"/>
    <xf numFmtId="0" fontId="21" fillId="12" borderId="0" xfId="0" applyFont="1" applyFill="1" applyAlignment="1">
      <alignment horizontal="center" vertical="center"/>
    </xf>
    <xf numFmtId="0" fontId="32" fillId="12" borderId="0" xfId="0" applyFont="1" applyFill="1" applyAlignment="1">
      <alignment horizontal="center" vertical="center" wrapText="1"/>
    </xf>
    <xf numFmtId="0" fontId="0" fillId="0" borderId="1" xfId="0" applyBorder="1" applyAlignment="1">
      <alignment horizontal="center" vertical="center"/>
    </xf>
    <xf numFmtId="0" fontId="40" fillId="12" borderId="0" xfId="0" applyFont="1" applyFill="1"/>
    <xf numFmtId="0" fontId="0" fillId="12" borderId="0" xfId="0" applyFill="1" applyAlignment="1">
      <alignment horizontal="left" vertical="top"/>
    </xf>
    <xf numFmtId="0" fontId="0" fillId="12" borderId="9" xfId="0" applyFill="1" applyBorder="1" applyAlignment="1">
      <alignment horizontal="center" vertical="center"/>
    </xf>
    <xf numFmtId="0" fontId="25" fillId="12" borderId="1" xfId="0" applyFont="1" applyFill="1" applyBorder="1" applyAlignment="1">
      <alignment horizontal="center" vertical="center" wrapText="1"/>
    </xf>
    <xf numFmtId="0" fontId="25" fillId="12" borderId="1" xfId="0" applyFont="1" applyFill="1" applyBorder="1" applyAlignment="1">
      <alignment horizontal="center" vertical="center"/>
    </xf>
    <xf numFmtId="0" fontId="23" fillId="12" borderId="10" xfId="0" applyFont="1" applyFill="1" applyBorder="1" applyAlignment="1">
      <alignment horizontal="center" vertical="center"/>
    </xf>
    <xf numFmtId="0" fontId="23" fillId="12" borderId="5" xfId="0" applyFont="1" applyFill="1" applyBorder="1" applyAlignment="1">
      <alignment horizontal="center" vertical="center"/>
    </xf>
    <xf numFmtId="0" fontId="0" fillId="0" borderId="1" xfId="0" applyBorder="1" applyAlignment="1">
      <alignment horizontal="center" vertical="center" wrapText="1"/>
    </xf>
    <xf numFmtId="165" fontId="0" fillId="12" borderId="1" xfId="0" applyNumberFormat="1" applyFill="1" applyBorder="1" applyAlignment="1">
      <alignment horizontal="center" vertical="center" wrapText="1"/>
    </xf>
    <xf numFmtId="0" fontId="0" fillId="12" borderId="2" xfId="0" applyFill="1" applyBorder="1"/>
    <xf numFmtId="0" fontId="0" fillId="12" borderId="3" xfId="0" applyFill="1" applyBorder="1"/>
    <xf numFmtId="1" fontId="20" fillId="12" borderId="1" xfId="0" applyNumberFormat="1" applyFont="1" applyFill="1" applyBorder="1" applyAlignment="1">
      <alignment horizontal="center" vertical="center"/>
    </xf>
    <xf numFmtId="0" fontId="12" fillId="7" borderId="2" xfId="0" applyFont="1" applyFill="1" applyBorder="1" applyAlignment="1">
      <alignment horizontal="center" vertical="center" wrapText="1"/>
    </xf>
    <xf numFmtId="0" fontId="12" fillId="13" borderId="1" xfId="0" applyFont="1" applyFill="1" applyBorder="1" applyAlignment="1">
      <alignment horizontal="center" vertical="center" wrapText="1"/>
    </xf>
    <xf numFmtId="0" fontId="14" fillId="0" borderId="1" xfId="0" applyFont="1" applyBorder="1" applyAlignment="1">
      <alignment vertical="center" wrapText="1"/>
    </xf>
    <xf numFmtId="0" fontId="12" fillId="0" borderId="8" xfId="0" applyFont="1" applyBorder="1" applyAlignment="1">
      <alignment vertical="center" wrapText="1"/>
    </xf>
    <xf numFmtId="0" fontId="12" fillId="0" borderId="2" xfId="0" applyFont="1" applyBorder="1" applyAlignment="1">
      <alignment vertical="center" wrapText="1"/>
    </xf>
    <xf numFmtId="0" fontId="12" fillId="14" borderId="1" xfId="0" applyFont="1" applyFill="1" applyBorder="1" applyAlignment="1">
      <alignment horizontal="center" vertical="center" wrapText="1"/>
    </xf>
    <xf numFmtId="0" fontId="12" fillId="4" borderId="1" xfId="0" applyFont="1" applyFill="1" applyBorder="1" applyAlignment="1">
      <alignment vertical="center" wrapText="1"/>
    </xf>
    <xf numFmtId="9" fontId="12" fillId="5" borderId="1" xfId="0" applyNumberFormat="1" applyFont="1" applyFill="1" applyBorder="1" applyAlignment="1">
      <alignment vertical="center" wrapText="1"/>
    </xf>
    <xf numFmtId="0" fontId="25" fillId="3" borderId="1" xfId="0" applyFont="1" applyFill="1" applyBorder="1" applyAlignment="1">
      <alignment horizontal="center" vertical="center" wrapText="1" readingOrder="1"/>
    </xf>
    <xf numFmtId="0" fontId="39" fillId="3" borderId="1" xfId="0" applyFont="1" applyFill="1" applyBorder="1" applyAlignment="1">
      <alignment horizontal="center" vertical="center" wrapText="1" readingOrder="1"/>
    </xf>
    <xf numFmtId="0" fontId="13" fillId="0" borderId="2" xfId="0" applyFont="1" applyBorder="1" applyAlignment="1">
      <alignment horizontal="center" vertical="center" wrapText="1"/>
    </xf>
    <xf numFmtId="0" fontId="25" fillId="12" borderId="3" xfId="0" applyFont="1" applyFill="1" applyBorder="1" applyAlignment="1">
      <alignment horizontal="center" vertical="center" wrapText="1"/>
    </xf>
    <xf numFmtId="0" fontId="0" fillId="0" borderId="1" xfId="0" applyBorder="1" applyAlignment="1">
      <alignment wrapText="1"/>
    </xf>
    <xf numFmtId="0" fontId="0" fillId="12" borderId="1" xfId="0" applyFill="1" applyBorder="1" applyAlignment="1">
      <alignment horizontal="center" vertical="center" wrapText="1"/>
    </xf>
    <xf numFmtId="0" fontId="43" fillId="12" borderId="0" xfId="0" applyFont="1" applyFill="1" applyAlignment="1">
      <alignment vertical="top" wrapText="1"/>
    </xf>
    <xf numFmtId="0" fontId="43" fillId="12" borderId="0" xfId="0" applyFont="1" applyFill="1"/>
    <xf numFmtId="10" fontId="38" fillId="12" borderId="10" xfId="0" applyNumberFormat="1" applyFont="1" applyFill="1" applyBorder="1" applyAlignment="1">
      <alignment horizontal="center" vertical="center" wrapText="1"/>
    </xf>
    <xf numFmtId="0" fontId="24" fillId="0" borderId="1" xfId="0" applyFont="1" applyBorder="1" applyAlignment="1">
      <alignment horizontal="center" vertical="center" wrapText="1"/>
    </xf>
    <xf numFmtId="0" fontId="24" fillId="12" borderId="1" xfId="0" applyFont="1" applyFill="1" applyBorder="1" applyAlignment="1">
      <alignment horizontal="center" vertical="center" wrapText="1"/>
    </xf>
    <xf numFmtId="0" fontId="42" fillId="12" borderId="1" xfId="0" applyFont="1" applyFill="1" applyBorder="1" applyAlignment="1">
      <alignment horizontal="center" vertical="center" wrapText="1"/>
    </xf>
    <xf numFmtId="0" fontId="23" fillId="12" borderId="1" xfId="0" applyFont="1" applyFill="1" applyBorder="1" applyAlignment="1">
      <alignment horizontal="center" vertical="center" wrapText="1"/>
    </xf>
    <xf numFmtId="0" fontId="0" fillId="12" borderId="1" xfId="0" applyFill="1" applyBorder="1" applyAlignment="1">
      <alignment horizontal="center" vertical="center"/>
    </xf>
    <xf numFmtId="0" fontId="24" fillId="12" borderId="2" xfId="0" applyFont="1" applyFill="1" applyBorder="1" applyAlignment="1">
      <alignment vertical="center"/>
    </xf>
    <xf numFmtId="0" fontId="21" fillId="0" borderId="1" xfId="0" applyFont="1" applyBorder="1" applyAlignment="1">
      <alignment horizontal="center" vertical="center" wrapText="1"/>
    </xf>
    <xf numFmtId="0" fontId="42" fillId="12" borderId="0" xfId="0" applyFont="1" applyFill="1" applyAlignment="1">
      <alignment horizontal="center" vertical="center" wrapText="1"/>
    </xf>
    <xf numFmtId="0" fontId="42" fillId="12" borderId="2" xfId="0" applyFont="1" applyFill="1" applyBorder="1" applyAlignment="1">
      <alignment horizontal="center" vertical="top" wrapText="1"/>
    </xf>
    <xf numFmtId="0" fontId="38" fillId="12" borderId="10" xfId="0" applyFont="1" applyFill="1" applyBorder="1" applyAlignment="1">
      <alignment horizontal="center" vertical="center" wrapText="1"/>
    </xf>
    <xf numFmtId="2" fontId="20" fillId="0" borderId="1" xfId="0" applyNumberFormat="1" applyFont="1" applyBorder="1" applyAlignment="1">
      <alignment horizontal="center" vertical="center"/>
    </xf>
    <xf numFmtId="10" fontId="38" fillId="12" borderId="1" xfId="0" applyNumberFormat="1" applyFont="1" applyFill="1" applyBorder="1" applyAlignment="1">
      <alignment horizontal="center" vertical="center" wrapText="1"/>
    </xf>
    <xf numFmtId="0" fontId="44" fillId="12" borderId="1" xfId="0" applyFont="1" applyFill="1" applyBorder="1" applyAlignment="1">
      <alignment horizontal="center" vertical="center" wrapText="1" readingOrder="1"/>
    </xf>
    <xf numFmtId="0" fontId="45" fillId="12" borderId="10" xfId="0" applyFont="1" applyFill="1" applyBorder="1" applyAlignment="1">
      <alignment horizontal="center" vertical="center" wrapText="1"/>
    </xf>
    <xf numFmtId="10" fontId="45" fillId="12" borderId="10" xfId="0" applyNumberFormat="1" applyFont="1" applyFill="1" applyBorder="1" applyAlignment="1">
      <alignment horizontal="center" vertical="center" wrapText="1"/>
    </xf>
    <xf numFmtId="10" fontId="32" fillId="12" borderId="0" xfId="0" applyNumberFormat="1" applyFont="1" applyFill="1" applyAlignment="1">
      <alignment horizontal="center" vertical="center" wrapText="1"/>
    </xf>
    <xf numFmtId="0" fontId="23" fillId="12" borderId="0" xfId="0" applyFont="1" applyFill="1"/>
    <xf numFmtId="0" fontId="31" fillId="12" borderId="3" xfId="0" applyFont="1" applyFill="1" applyBorder="1" applyAlignment="1">
      <alignment horizontal="center" vertical="center" wrapText="1"/>
    </xf>
    <xf numFmtId="0" fontId="31" fillId="12" borderId="1" xfId="0" applyFont="1" applyFill="1" applyBorder="1" applyAlignment="1">
      <alignment horizontal="center" vertical="center" wrapText="1"/>
    </xf>
    <xf numFmtId="0" fontId="31" fillId="12" borderId="10" xfId="0" applyFont="1" applyFill="1" applyBorder="1" applyAlignment="1">
      <alignment horizontal="center" vertical="center" wrapText="1"/>
    </xf>
    <xf numFmtId="10" fontId="31" fillId="12" borderId="10" xfId="0" applyNumberFormat="1" applyFont="1" applyFill="1" applyBorder="1" applyAlignment="1">
      <alignment horizontal="center" vertical="center" wrapText="1"/>
    </xf>
    <xf numFmtId="0" fontId="20" fillId="12" borderId="0" xfId="0" applyFont="1" applyFill="1"/>
    <xf numFmtId="165" fontId="23" fillId="12" borderId="1" xfId="0" applyNumberFormat="1" applyFont="1" applyFill="1" applyBorder="1" applyAlignment="1">
      <alignment horizontal="center" vertical="center"/>
    </xf>
    <xf numFmtId="0" fontId="3" fillId="12" borderId="8" xfId="0" applyFont="1" applyFill="1" applyBorder="1" applyAlignment="1">
      <alignment horizontal="center"/>
    </xf>
    <xf numFmtId="0" fontId="20" fillId="12" borderId="15" xfId="0" applyFont="1" applyFill="1" applyBorder="1" applyAlignment="1">
      <alignment horizontal="center" vertical="top" wrapText="1"/>
    </xf>
    <xf numFmtId="0" fontId="35" fillId="12" borderId="1" xfId="0" applyFont="1" applyFill="1" applyBorder="1" applyAlignment="1">
      <alignment horizontal="center" vertical="top" wrapText="1" readingOrder="1"/>
    </xf>
    <xf numFmtId="0" fontId="47" fillId="0" borderId="0" xfId="0" applyFont="1" applyAlignment="1">
      <alignment horizontal="center" vertical="center"/>
    </xf>
    <xf numFmtId="0" fontId="0" fillId="0" borderId="1" xfId="0" applyBorder="1" applyAlignment="1">
      <alignment horizontal="center"/>
    </xf>
    <xf numFmtId="0" fontId="18" fillId="0" borderId="1" xfId="0" applyFont="1" applyBorder="1" applyAlignment="1">
      <alignment horizontal="center" vertical="center" wrapText="1"/>
    </xf>
    <xf numFmtId="0" fontId="0" fillId="0" borderId="1" xfId="0" applyBorder="1"/>
    <xf numFmtId="0" fontId="0" fillId="12" borderId="1" xfId="0" applyFill="1" applyBorder="1"/>
    <xf numFmtId="0" fontId="47" fillId="0" borderId="0" xfId="0" applyFont="1" applyAlignment="1">
      <alignment horizontal="center" vertical="center" wrapText="1"/>
    </xf>
    <xf numFmtId="0" fontId="47" fillId="0" borderId="0" xfId="0" applyFont="1" applyAlignment="1">
      <alignment horizontal="center" vertical="center"/>
    </xf>
    <xf numFmtId="0" fontId="40" fillId="0" borderId="0" xfId="0" applyFont="1" applyAlignment="1">
      <alignment horizontal="left" vertical="top" wrapText="1"/>
    </xf>
    <xf numFmtId="0" fontId="0" fillId="0" borderId="0" xfId="0" applyAlignment="1">
      <alignment horizontal="left" vertical="top" wrapText="1"/>
    </xf>
    <xf numFmtId="0" fontId="37" fillId="12" borderId="2" xfId="0" applyFont="1" applyFill="1" applyBorder="1" applyAlignment="1">
      <alignment horizontal="center" vertical="center" wrapText="1"/>
    </xf>
    <xf numFmtId="0" fontId="37" fillId="12" borderId="8" xfId="0" applyFont="1" applyFill="1" applyBorder="1" applyAlignment="1">
      <alignment horizontal="center" vertical="center" wrapText="1"/>
    </xf>
    <xf numFmtId="0" fontId="37" fillId="12" borderId="3" xfId="0" applyFont="1" applyFill="1" applyBorder="1" applyAlignment="1">
      <alignment horizontal="center" vertical="center" wrapText="1"/>
    </xf>
    <xf numFmtId="0" fontId="23" fillId="12" borderId="2" xfId="0" applyFont="1" applyFill="1" applyBorder="1" applyAlignment="1">
      <alignment horizontal="left" vertical="center" wrapText="1"/>
    </xf>
    <xf numFmtId="0" fontId="23" fillId="12" borderId="8" xfId="0" applyFont="1" applyFill="1" applyBorder="1" applyAlignment="1">
      <alignment horizontal="left" vertical="center"/>
    </xf>
    <xf numFmtId="0" fontId="23" fillId="12" borderId="3" xfId="0" applyFont="1" applyFill="1" applyBorder="1" applyAlignment="1">
      <alignment horizontal="left" vertical="center"/>
    </xf>
    <xf numFmtId="16" fontId="37" fillId="12" borderId="2" xfId="0" applyNumberFormat="1" applyFont="1" applyFill="1" applyBorder="1" applyAlignment="1">
      <alignment horizontal="center" vertical="center" wrapText="1"/>
    </xf>
    <xf numFmtId="16" fontId="37" fillId="12" borderId="8" xfId="0" applyNumberFormat="1" applyFont="1" applyFill="1" applyBorder="1" applyAlignment="1">
      <alignment horizontal="center" vertical="center" wrapText="1"/>
    </xf>
    <xf numFmtId="16" fontId="37" fillId="12" borderId="3" xfId="0" applyNumberFormat="1" applyFont="1" applyFill="1" applyBorder="1" applyAlignment="1">
      <alignment horizontal="center" vertical="center" wrapText="1"/>
    </xf>
    <xf numFmtId="0" fontId="42" fillId="12" borderId="1" xfId="0" applyFont="1" applyFill="1" applyBorder="1" applyAlignment="1">
      <alignment horizontal="center" vertical="center" wrapText="1"/>
    </xf>
    <xf numFmtId="0" fontId="25" fillId="12" borderId="1" xfId="0" applyFont="1" applyFill="1" applyBorder="1" applyAlignment="1">
      <alignment horizontal="center" vertical="center" wrapText="1"/>
    </xf>
    <xf numFmtId="0" fontId="25" fillId="12" borderId="1" xfId="0" applyFont="1" applyFill="1" applyBorder="1" applyAlignment="1">
      <alignment horizontal="center" vertical="center"/>
    </xf>
    <xf numFmtId="0" fontId="33" fillId="12" borderId="4" xfId="0" applyFont="1" applyFill="1" applyBorder="1" applyAlignment="1">
      <alignment horizontal="center" vertical="center"/>
    </xf>
    <xf numFmtId="0" fontId="33" fillId="12" borderId="15" xfId="0" applyFont="1" applyFill="1" applyBorder="1" applyAlignment="1">
      <alignment horizontal="center" vertical="center"/>
    </xf>
    <xf numFmtId="0" fontId="33" fillId="12" borderId="5" xfId="0" applyFont="1" applyFill="1" applyBorder="1" applyAlignment="1">
      <alignment horizontal="center" vertical="center"/>
    </xf>
    <xf numFmtId="0" fontId="25" fillId="12" borderId="2" xfId="0" applyFont="1" applyFill="1" applyBorder="1" applyAlignment="1">
      <alignment horizontal="center" vertical="center" wrapText="1"/>
    </xf>
    <xf numFmtId="0" fontId="25" fillId="12" borderId="3" xfId="0" applyFont="1" applyFill="1" applyBorder="1" applyAlignment="1">
      <alignment horizontal="center" vertical="center"/>
    </xf>
    <xf numFmtId="0" fontId="25" fillId="12" borderId="2" xfId="0" applyFont="1" applyFill="1" applyBorder="1" applyAlignment="1">
      <alignment horizontal="center" vertical="center"/>
    </xf>
    <xf numFmtId="0" fontId="23" fillId="12" borderId="2" xfId="0" applyFont="1" applyFill="1" applyBorder="1" applyAlignment="1">
      <alignment horizontal="center" vertical="center"/>
    </xf>
    <xf numFmtId="0" fontId="23" fillId="12" borderId="3" xfId="0" applyFont="1" applyFill="1" applyBorder="1" applyAlignment="1">
      <alignment horizontal="center" vertical="center"/>
    </xf>
    <xf numFmtId="0" fontId="25" fillId="12" borderId="3" xfId="0" applyFont="1" applyFill="1" applyBorder="1" applyAlignment="1">
      <alignment horizontal="center" vertical="center" wrapText="1"/>
    </xf>
    <xf numFmtId="0" fontId="25" fillId="12" borderId="8" xfId="0" applyFont="1" applyFill="1" applyBorder="1" applyAlignment="1">
      <alignment horizontal="center" vertical="center" wrapText="1"/>
    </xf>
    <xf numFmtId="1" fontId="23" fillId="12" borderId="2" xfId="0" applyNumberFormat="1" applyFont="1" applyFill="1" applyBorder="1" applyAlignment="1">
      <alignment horizontal="center" vertical="center"/>
    </xf>
    <xf numFmtId="1" fontId="23" fillId="12" borderId="8" xfId="0" applyNumberFormat="1" applyFont="1" applyFill="1" applyBorder="1" applyAlignment="1">
      <alignment horizontal="center" vertical="center"/>
    </xf>
    <xf numFmtId="0" fontId="23" fillId="12" borderId="1" xfId="0" applyFont="1" applyFill="1" applyBorder="1" applyAlignment="1">
      <alignment horizontal="center" vertical="center"/>
    </xf>
    <xf numFmtId="0" fontId="33" fillId="12" borderId="1" xfId="0" applyFont="1" applyFill="1" applyBorder="1" applyAlignment="1">
      <alignment horizontal="center" vertical="center"/>
    </xf>
    <xf numFmtId="0" fontId="18" fillId="12" borderId="1" xfId="0" applyFont="1" applyFill="1" applyBorder="1" applyAlignment="1">
      <alignment horizontal="center" vertical="center"/>
    </xf>
    <xf numFmtId="0" fontId="22" fillId="12" borderId="6" xfId="0" applyFont="1" applyFill="1" applyBorder="1" applyAlignment="1">
      <alignment horizontal="left" vertical="center"/>
    </xf>
    <xf numFmtId="0" fontId="22" fillId="12" borderId="9" xfId="0" applyFont="1" applyFill="1" applyBorder="1" applyAlignment="1">
      <alignment horizontal="left" vertical="center"/>
    </xf>
    <xf numFmtId="0" fontId="22" fillId="12" borderId="7" xfId="0" applyFont="1" applyFill="1" applyBorder="1" applyAlignment="1">
      <alignment horizontal="left" vertical="center"/>
    </xf>
    <xf numFmtId="0" fontId="22" fillId="12" borderId="4" xfId="0" applyFont="1" applyFill="1" applyBorder="1" applyAlignment="1">
      <alignment horizontal="left" vertical="center"/>
    </xf>
    <xf numFmtId="0" fontId="22" fillId="12" borderId="15" xfId="0" applyFont="1" applyFill="1" applyBorder="1" applyAlignment="1">
      <alignment horizontal="left" vertical="center"/>
    </xf>
    <xf numFmtId="0" fontId="22" fillId="12" borderId="5" xfId="0" applyFont="1" applyFill="1" applyBorder="1" applyAlignment="1">
      <alignment horizontal="left" vertical="center"/>
    </xf>
    <xf numFmtId="0" fontId="18" fillId="12" borderId="4" xfId="0" applyFont="1" applyFill="1" applyBorder="1" applyAlignment="1">
      <alignment horizontal="center" vertical="center" wrapText="1"/>
    </xf>
    <xf numFmtId="0" fontId="18" fillId="12" borderId="15" xfId="0" applyFont="1" applyFill="1" applyBorder="1" applyAlignment="1">
      <alignment horizontal="center" vertical="center"/>
    </xf>
    <xf numFmtId="0" fontId="18" fillId="12" borderId="5" xfId="0" applyFont="1" applyFill="1" applyBorder="1" applyAlignment="1">
      <alignment horizontal="center" vertical="center"/>
    </xf>
    <xf numFmtId="0" fontId="18" fillId="12" borderId="6" xfId="0" applyFont="1" applyFill="1" applyBorder="1" applyAlignment="1">
      <alignment horizontal="center" vertical="center"/>
    </xf>
    <xf numFmtId="0" fontId="18" fillId="12" borderId="9" xfId="0" applyFont="1" applyFill="1" applyBorder="1" applyAlignment="1">
      <alignment horizontal="center" vertical="center"/>
    </xf>
    <xf numFmtId="0" fontId="18" fillId="12" borderId="7" xfId="0" applyFont="1" applyFill="1" applyBorder="1" applyAlignment="1">
      <alignment horizontal="center" vertical="center"/>
    </xf>
    <xf numFmtId="0" fontId="21" fillId="12" borderId="2" xfId="0" applyFont="1" applyFill="1" applyBorder="1" applyAlignment="1">
      <alignment horizontal="center" vertical="center"/>
    </xf>
    <xf numFmtId="0" fontId="21" fillId="12" borderId="8" xfId="0" applyFont="1" applyFill="1" applyBorder="1" applyAlignment="1">
      <alignment horizontal="center" vertical="center"/>
    </xf>
    <xf numFmtId="0" fontId="21" fillId="12" borderId="3" xfId="0" applyFont="1" applyFill="1" applyBorder="1" applyAlignment="1">
      <alignment horizontal="center" vertical="center"/>
    </xf>
    <xf numFmtId="0" fontId="21" fillId="12" borderId="2" xfId="0" applyFont="1" applyFill="1" applyBorder="1" applyAlignment="1">
      <alignment horizontal="center" vertical="center" wrapText="1"/>
    </xf>
    <xf numFmtId="0" fontId="21" fillId="12" borderId="1" xfId="0" applyFont="1" applyFill="1" applyBorder="1" applyAlignment="1">
      <alignment horizontal="center" vertical="center"/>
    </xf>
    <xf numFmtId="0" fontId="23" fillId="12" borderId="1" xfId="0" applyFont="1" applyFill="1" applyBorder="1" applyAlignment="1">
      <alignment horizontal="left" vertical="center" wrapText="1"/>
    </xf>
    <xf numFmtId="0" fontId="23" fillId="12" borderId="1" xfId="0" applyFont="1" applyFill="1" applyBorder="1" applyAlignment="1">
      <alignment horizontal="center"/>
    </xf>
    <xf numFmtId="0" fontId="23" fillId="12" borderId="1" xfId="0" applyFont="1" applyFill="1" applyBorder="1" applyAlignment="1">
      <alignment horizontal="center" vertical="center" wrapText="1"/>
    </xf>
    <xf numFmtId="0" fontId="19" fillId="0" borderId="2" xfId="0" applyFont="1" applyBorder="1" applyAlignment="1">
      <alignment horizontal="center" vertical="center"/>
    </xf>
    <xf numFmtId="0" fontId="19" fillId="0" borderId="8" xfId="0" applyFont="1" applyBorder="1" applyAlignment="1">
      <alignment horizontal="center" vertical="center"/>
    </xf>
    <xf numFmtId="0" fontId="19" fillId="0" borderId="3" xfId="0" applyFont="1" applyBorder="1" applyAlignment="1">
      <alignment horizontal="center" vertical="center"/>
    </xf>
    <xf numFmtId="0" fontId="24" fillId="12" borderId="2" xfId="0" applyFont="1" applyFill="1" applyBorder="1" applyAlignment="1">
      <alignment horizontal="center" vertical="center"/>
    </xf>
    <xf numFmtId="0" fontId="24" fillId="12" borderId="3" xfId="0" applyFont="1" applyFill="1" applyBorder="1" applyAlignment="1">
      <alignment horizontal="center" vertical="center"/>
    </xf>
    <xf numFmtId="0" fontId="24" fillId="12" borderId="2" xfId="0" applyFont="1" applyFill="1" applyBorder="1" applyAlignment="1">
      <alignment horizontal="center"/>
    </xf>
    <xf numFmtId="0" fontId="24" fillId="12" borderId="3" xfId="0" applyFont="1" applyFill="1" applyBorder="1" applyAlignment="1">
      <alignment horizontal="center"/>
    </xf>
    <xf numFmtId="0" fontId="24" fillId="12" borderId="8" xfId="0" applyFont="1" applyFill="1" applyBorder="1" applyAlignment="1">
      <alignment horizontal="center" vertical="center"/>
    </xf>
    <xf numFmtId="0" fontId="23" fillId="12" borderId="2" xfId="0" applyFont="1" applyFill="1" applyBorder="1" applyAlignment="1">
      <alignment horizontal="center" vertical="center" wrapText="1"/>
    </xf>
    <xf numFmtId="0" fontId="23" fillId="12" borderId="8" xfId="0" applyFont="1" applyFill="1" applyBorder="1" applyAlignment="1">
      <alignment horizontal="center" vertical="center"/>
    </xf>
    <xf numFmtId="0" fontId="0" fillId="12" borderId="4" xfId="0" applyFill="1" applyBorder="1" applyAlignment="1">
      <alignment horizontal="center" vertical="center"/>
    </xf>
    <xf numFmtId="0" fontId="0" fillId="12" borderId="6" xfId="0" applyFill="1" applyBorder="1" applyAlignment="1">
      <alignment horizontal="center" vertical="center"/>
    </xf>
    <xf numFmtId="0" fontId="0" fillId="12" borderId="10" xfId="0" applyFill="1" applyBorder="1" applyAlignment="1">
      <alignment horizontal="center" vertical="center"/>
    </xf>
    <xf numFmtId="0" fontId="0" fillId="12" borderId="11" xfId="0" applyFill="1" applyBorder="1" applyAlignment="1">
      <alignment horizontal="center" vertical="center"/>
    </xf>
    <xf numFmtId="0" fontId="19" fillId="0" borderId="6" xfId="0" applyFont="1" applyBorder="1" applyAlignment="1">
      <alignment horizontal="center" vertical="center"/>
    </xf>
    <xf numFmtId="0" fontId="19" fillId="0" borderId="9" xfId="0" applyFont="1" applyBorder="1" applyAlignment="1">
      <alignment horizontal="center" vertical="center"/>
    </xf>
    <xf numFmtId="0" fontId="19" fillId="0" borderId="7" xfId="0" applyFont="1" applyBorder="1" applyAlignment="1">
      <alignment horizontal="center" vertical="center"/>
    </xf>
    <xf numFmtId="0" fontId="23" fillId="12" borderId="8" xfId="0" applyFont="1" applyFill="1" applyBorder="1" applyAlignment="1">
      <alignment horizontal="center" vertical="center" wrapText="1"/>
    </xf>
    <xf numFmtId="0" fontId="25" fillId="12" borderId="4" xfId="0" applyFont="1" applyFill="1" applyBorder="1" applyAlignment="1">
      <alignment horizontal="center" vertical="center" wrapText="1"/>
    </xf>
    <xf numFmtId="0" fontId="25" fillId="12" borderId="5" xfId="0" applyFont="1" applyFill="1" applyBorder="1" applyAlignment="1">
      <alignment horizontal="center" vertical="center" wrapText="1"/>
    </xf>
    <xf numFmtId="10" fontId="23" fillId="12" borderId="1" xfId="0" applyNumberFormat="1" applyFont="1" applyFill="1" applyBorder="1" applyAlignment="1">
      <alignment horizontal="center" vertical="center"/>
    </xf>
    <xf numFmtId="0" fontId="0" fillId="12" borderId="1" xfId="0" applyFill="1" applyBorder="1" applyAlignment="1">
      <alignment horizontal="center"/>
    </xf>
    <xf numFmtId="0" fontId="25" fillId="12" borderId="8" xfId="0" applyFont="1" applyFill="1" applyBorder="1" applyAlignment="1">
      <alignment horizontal="center" vertical="center"/>
    </xf>
    <xf numFmtId="0" fontId="23" fillId="12" borderId="2" xfId="0" applyFont="1" applyFill="1" applyBorder="1" applyAlignment="1">
      <alignment horizontal="center"/>
    </xf>
    <xf numFmtId="0" fontId="23" fillId="12" borderId="8" xfId="0" applyFont="1" applyFill="1" applyBorder="1" applyAlignment="1">
      <alignment horizontal="center"/>
    </xf>
    <xf numFmtId="0" fontId="23" fillId="12" borderId="3" xfId="0" applyFont="1" applyFill="1" applyBorder="1" applyAlignment="1">
      <alignment horizontal="center"/>
    </xf>
    <xf numFmtId="0" fontId="0" fillId="12" borderId="2" xfId="0" applyFill="1" applyBorder="1" applyAlignment="1">
      <alignment horizontal="center"/>
    </xf>
    <xf numFmtId="0" fontId="0" fillId="12" borderId="3" xfId="0" applyFill="1" applyBorder="1" applyAlignment="1">
      <alignment horizontal="center"/>
    </xf>
    <xf numFmtId="2" fontId="23" fillId="12" borderId="2" xfId="0" applyNumberFormat="1" applyFont="1" applyFill="1" applyBorder="1" applyAlignment="1">
      <alignment horizontal="center" vertical="center" wrapText="1"/>
    </xf>
    <xf numFmtId="2" fontId="23" fillId="12" borderId="3" xfId="0" applyNumberFormat="1" applyFont="1" applyFill="1" applyBorder="1" applyAlignment="1">
      <alignment horizontal="center" vertical="center" wrapText="1"/>
    </xf>
    <xf numFmtId="0" fontId="0" fillId="0" borderId="2" xfId="0" applyBorder="1" applyAlignment="1">
      <alignment horizontal="center"/>
    </xf>
    <xf numFmtId="0" fontId="0" fillId="0" borderId="8" xfId="0" applyBorder="1" applyAlignment="1">
      <alignment horizontal="center"/>
    </xf>
    <xf numFmtId="0" fontId="0" fillId="0" borderId="3" xfId="0" applyBorder="1" applyAlignment="1">
      <alignment horizontal="center"/>
    </xf>
    <xf numFmtId="0" fontId="0" fillId="0" borderId="1" xfId="0" applyBorder="1" applyAlignment="1">
      <alignment horizontal="center"/>
    </xf>
    <xf numFmtId="0" fontId="0" fillId="0" borderId="2" xfId="0" applyBorder="1" applyAlignment="1">
      <alignment horizontal="center" vertical="center"/>
    </xf>
    <xf numFmtId="0" fontId="0" fillId="0" borderId="8" xfId="0" applyBorder="1" applyAlignment="1">
      <alignment horizontal="center" vertical="center"/>
    </xf>
    <xf numFmtId="0" fontId="18" fillId="0" borderId="1" xfId="0" applyFont="1" applyBorder="1" applyAlignment="1">
      <alignment horizontal="center" wrapText="1"/>
    </xf>
    <xf numFmtId="0" fontId="18" fillId="0" borderId="1" xfId="0" applyFont="1" applyBorder="1" applyAlignment="1">
      <alignment horizontal="center"/>
    </xf>
    <xf numFmtId="0" fontId="18" fillId="0" borderId="8" xfId="0" applyFont="1" applyBorder="1" applyAlignment="1">
      <alignment horizontal="center" wrapText="1"/>
    </xf>
    <xf numFmtId="0" fontId="18" fillId="0" borderId="8" xfId="0" applyFont="1" applyBorder="1" applyAlignment="1">
      <alignment horizontal="center"/>
    </xf>
    <xf numFmtId="0" fontId="18" fillId="0" borderId="3" xfId="0" applyFont="1" applyBorder="1" applyAlignment="1">
      <alignment horizontal="center"/>
    </xf>
    <xf numFmtId="0" fontId="22" fillId="0" borderId="2" xfId="0" applyFont="1" applyBorder="1" applyAlignment="1">
      <alignment horizontal="center"/>
    </xf>
    <xf numFmtId="0" fontId="22" fillId="0" borderId="8" xfId="0" applyFont="1" applyBorder="1" applyAlignment="1">
      <alignment horizontal="center"/>
    </xf>
    <xf numFmtId="0" fontId="22" fillId="0" borderId="3" xfId="0" applyFont="1" applyBorder="1" applyAlignment="1">
      <alignment horizontal="center"/>
    </xf>
    <xf numFmtId="0" fontId="33" fillId="0" borderId="2" xfId="0" applyFont="1" applyBorder="1" applyAlignment="1">
      <alignment horizontal="center"/>
    </xf>
    <xf numFmtId="0" fontId="33" fillId="0" borderId="8" xfId="0" applyFont="1" applyBorder="1" applyAlignment="1">
      <alignment horizontal="center"/>
    </xf>
    <xf numFmtId="0" fontId="33" fillId="0" borderId="3" xfId="0" applyFont="1" applyBorder="1" applyAlignment="1">
      <alignment horizontal="center"/>
    </xf>
    <xf numFmtId="0" fontId="0" fillId="0" borderId="4" xfId="0" applyBorder="1" applyAlignment="1">
      <alignment horizontal="center"/>
    </xf>
    <xf numFmtId="0" fontId="0" fillId="0" borderId="15"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9" xfId="0" applyBorder="1" applyAlignment="1">
      <alignment horizontal="center"/>
    </xf>
    <xf numFmtId="0" fontId="0" fillId="0" borderId="7" xfId="0" applyBorder="1" applyAlignment="1">
      <alignment horizontal="center"/>
    </xf>
    <xf numFmtId="0" fontId="21" fillId="0" borderId="2" xfId="0" applyFont="1" applyBorder="1" applyAlignment="1">
      <alignment horizontal="center" vertical="center" wrapText="1"/>
    </xf>
    <xf numFmtId="0" fontId="21" fillId="0" borderId="8" xfId="0" applyFont="1" applyBorder="1" applyAlignment="1">
      <alignment horizontal="center" vertical="center"/>
    </xf>
    <xf numFmtId="0" fontId="21" fillId="0" borderId="3" xfId="0" applyFont="1" applyBorder="1" applyAlignment="1">
      <alignment horizontal="center" vertical="center"/>
    </xf>
    <xf numFmtId="0" fontId="0" fillId="0" borderId="1" xfId="0" applyBorder="1" applyAlignment="1">
      <alignment horizontal="center" vertical="center"/>
    </xf>
    <xf numFmtId="0" fontId="22" fillId="0" borderId="1" xfId="0" applyFont="1" applyBorder="1" applyAlignment="1">
      <alignment horizontal="center" vertical="center" wrapText="1"/>
    </xf>
    <xf numFmtId="0" fontId="22" fillId="0" borderId="1" xfId="0" applyFont="1" applyBorder="1" applyAlignment="1">
      <alignment horizontal="center" vertical="center"/>
    </xf>
    <xf numFmtId="0" fontId="18" fillId="0" borderId="1" xfId="0" applyFont="1" applyBorder="1" applyAlignment="1">
      <alignment horizontal="center" vertical="center" wrapText="1"/>
    </xf>
    <xf numFmtId="0" fontId="18" fillId="0" borderId="1" xfId="0" applyFont="1" applyBorder="1" applyAlignment="1">
      <alignment horizontal="center" vertical="center"/>
    </xf>
    <xf numFmtId="0" fontId="19" fillId="0" borderId="8" xfId="0" applyFont="1" applyBorder="1" applyAlignment="1">
      <alignment horizontal="center"/>
    </xf>
    <xf numFmtId="0" fontId="19" fillId="0" borderId="9" xfId="0" applyFont="1" applyBorder="1" applyAlignment="1">
      <alignment horizontal="center"/>
    </xf>
    <xf numFmtId="0" fontId="22" fillId="0" borderId="1" xfId="0" applyFont="1" applyBorder="1" applyAlignment="1">
      <alignment horizontal="center" wrapText="1"/>
    </xf>
    <xf numFmtId="0" fontId="22" fillId="0" borderId="1" xfId="0" applyFont="1" applyBorder="1" applyAlignment="1">
      <alignment horizontal="center"/>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vertical="center"/>
    </xf>
    <xf numFmtId="9" fontId="39" fillId="12" borderId="1" xfId="0" applyNumberFormat="1" applyFont="1" applyFill="1" applyBorder="1" applyAlignment="1">
      <alignment horizontal="center" vertical="center" wrapText="1" readingOrder="1"/>
    </xf>
    <xf numFmtId="0" fontId="3" fillId="12" borderId="9" xfId="0" applyFont="1" applyFill="1" applyBorder="1" applyAlignment="1">
      <alignment horizontal="center"/>
    </xf>
    <xf numFmtId="0" fontId="20" fillId="12" borderId="15" xfId="0" applyFont="1" applyFill="1" applyBorder="1" applyAlignment="1">
      <alignment horizontal="left" vertical="top" wrapText="1"/>
    </xf>
    <xf numFmtId="0" fontId="20" fillId="12" borderId="0" xfId="0" applyFont="1" applyFill="1" applyAlignment="1">
      <alignment horizontal="left" vertical="top" wrapText="1"/>
    </xf>
    <xf numFmtId="0" fontId="1" fillId="12" borderId="1" xfId="0" applyFont="1" applyFill="1" applyBorder="1" applyAlignment="1">
      <alignment horizontal="center"/>
    </xf>
    <xf numFmtId="0" fontId="25" fillId="3" borderId="11" xfId="0" applyFont="1" applyFill="1" applyBorder="1" applyAlignment="1">
      <alignment horizontal="center" vertical="center" wrapText="1" readingOrder="1"/>
    </xf>
    <xf numFmtId="0" fontId="25" fillId="3" borderId="1" xfId="0" applyFont="1" applyFill="1" applyBorder="1" applyAlignment="1">
      <alignment horizontal="center" vertical="center" wrapText="1" readingOrder="1"/>
    </xf>
    <xf numFmtId="0" fontId="25" fillId="12" borderId="11" xfId="0" applyFont="1" applyFill="1" applyBorder="1" applyAlignment="1">
      <alignment horizontal="center" vertical="center" wrapText="1" readingOrder="1"/>
    </xf>
    <xf numFmtId="0" fontId="25" fillId="12" borderId="1" xfId="0" applyFont="1" applyFill="1" applyBorder="1" applyAlignment="1">
      <alignment horizontal="center" vertical="center" wrapText="1" readingOrder="1"/>
    </xf>
    <xf numFmtId="0" fontId="25" fillId="12" borderId="15" xfId="0" applyFont="1" applyFill="1" applyBorder="1" applyAlignment="1">
      <alignment horizontal="center" vertical="center" wrapText="1" readingOrder="1"/>
    </xf>
    <xf numFmtId="0" fontId="25" fillId="12" borderId="5" xfId="0" applyFont="1" applyFill="1" applyBorder="1" applyAlignment="1">
      <alignment horizontal="center" vertical="center" wrapText="1" readingOrder="1"/>
    </xf>
    <xf numFmtId="0" fontId="25" fillId="12" borderId="0" xfId="0" applyFont="1" applyFill="1" applyAlignment="1">
      <alignment horizontal="center" vertical="center" wrapText="1" readingOrder="1"/>
    </xf>
    <xf numFmtId="0" fontId="25" fillId="12" borderId="14" xfId="0" applyFont="1" applyFill="1" applyBorder="1" applyAlignment="1">
      <alignment horizontal="center" vertical="center" wrapText="1" readingOrder="1"/>
    </xf>
    <xf numFmtId="0" fontId="46" fillId="12" borderId="1" xfId="0" applyFont="1" applyFill="1" applyBorder="1" applyAlignment="1">
      <alignment horizontal="center" vertical="top" wrapText="1"/>
    </xf>
    <xf numFmtId="0" fontId="0" fillId="12" borderId="1" xfId="0" applyFill="1" applyBorder="1" applyAlignment="1">
      <alignment horizontal="center" vertical="center"/>
    </xf>
    <xf numFmtId="0" fontId="4" fillId="0" borderId="9" xfId="0" applyFont="1" applyBorder="1" applyAlignment="1">
      <alignment horizontal="center"/>
    </xf>
    <xf numFmtId="0" fontId="20" fillId="0" borderId="15" xfId="0" applyFont="1" applyBorder="1" applyAlignment="1">
      <alignment horizontal="left" vertical="top" wrapText="1"/>
    </xf>
    <xf numFmtId="0" fontId="20" fillId="0" borderId="0" xfId="0" applyFont="1" applyAlignment="1">
      <alignment horizontal="left" vertical="top" wrapText="1"/>
    </xf>
    <xf numFmtId="0" fontId="27" fillId="12" borderId="1" xfId="0" applyFont="1" applyFill="1" applyBorder="1" applyAlignment="1">
      <alignment horizontal="center" vertical="center" wrapText="1" readingOrder="1"/>
    </xf>
    <xf numFmtId="0" fontId="0" fillId="12" borderId="0" xfId="0" applyFill="1" applyAlignment="1">
      <alignment horizontal="left" vertical="top" wrapText="1"/>
    </xf>
    <xf numFmtId="0" fontId="0" fillId="12" borderId="0" xfId="0" applyFill="1" applyAlignment="1">
      <alignment horizontal="left" vertical="top"/>
    </xf>
    <xf numFmtId="0" fontId="4" fillId="0" borderId="8" xfId="0" applyFont="1" applyBorder="1" applyAlignment="1">
      <alignment horizontal="center"/>
    </xf>
    <xf numFmtId="0" fontId="3" fillId="0" borderId="9" xfId="0" applyFont="1" applyBorder="1" applyAlignment="1">
      <alignment horizontal="center"/>
    </xf>
    <xf numFmtId="0" fontId="22" fillId="12" borderId="15" xfId="0" applyFont="1" applyFill="1" applyBorder="1" applyAlignment="1">
      <alignment horizontal="left" vertical="top"/>
    </xf>
    <xf numFmtId="0" fontId="23" fillId="12" borderId="1" xfId="0" applyFont="1" applyFill="1" applyBorder="1" applyAlignment="1">
      <alignment horizontal="left" vertical="top" wrapText="1"/>
    </xf>
    <xf numFmtId="0" fontId="20" fillId="12" borderId="1" xfId="0" applyFont="1" applyFill="1" applyBorder="1" applyAlignment="1">
      <alignment horizontal="left" vertical="top" wrapText="1"/>
    </xf>
    <xf numFmtId="0" fontId="20" fillId="12" borderId="1" xfId="0" applyFont="1" applyFill="1" applyBorder="1" applyAlignment="1">
      <alignment horizontal="left" vertical="top"/>
    </xf>
    <xf numFmtId="0" fontId="40" fillId="0" borderId="10" xfId="0" applyFont="1" applyBorder="1" applyAlignment="1">
      <alignment horizontal="center" vertical="center" wrapText="1"/>
    </xf>
    <xf numFmtId="0" fontId="40" fillId="0" borderId="12" xfId="0" applyFont="1" applyBorder="1" applyAlignment="1">
      <alignment horizontal="center" vertical="center"/>
    </xf>
    <xf numFmtId="0" fontId="40" fillId="0" borderId="11" xfId="0" applyFont="1" applyBorder="1" applyAlignment="1">
      <alignment horizontal="center" vertical="center"/>
    </xf>
    <xf numFmtId="0" fontId="21" fillId="12" borderId="2" xfId="0" applyFont="1" applyFill="1" applyBorder="1" applyAlignment="1">
      <alignment horizontal="center" wrapText="1"/>
    </xf>
    <xf numFmtId="0" fontId="21" fillId="12" borderId="8" xfId="0" applyFont="1" applyFill="1" applyBorder="1" applyAlignment="1">
      <alignment horizontal="center"/>
    </xf>
    <xf numFmtId="0" fontId="21" fillId="12" borderId="3" xfId="0" applyFont="1" applyFill="1" applyBorder="1" applyAlignment="1">
      <alignment horizontal="center"/>
    </xf>
    <xf numFmtId="0" fontId="21" fillId="12" borderId="8" xfId="0" applyFont="1" applyFill="1" applyBorder="1" applyAlignment="1">
      <alignment horizontal="center" wrapText="1"/>
    </xf>
    <xf numFmtId="0" fontId="21" fillId="12" borderId="3" xfId="0" applyFont="1" applyFill="1" applyBorder="1" applyAlignment="1">
      <alignment horizontal="center" wrapText="1"/>
    </xf>
    <xf numFmtId="0" fontId="34" fillId="12" borderId="1" xfId="0" applyFont="1" applyFill="1" applyBorder="1" applyAlignment="1">
      <alignment horizontal="center" vertical="center" wrapText="1"/>
    </xf>
    <xf numFmtId="0" fontId="21" fillId="12" borderId="1" xfId="0" applyFont="1" applyFill="1" applyBorder="1" applyAlignment="1">
      <alignment horizontal="center" vertical="center" wrapText="1"/>
    </xf>
    <xf numFmtId="0" fontId="20" fillId="0" borderId="1" xfId="0" applyFont="1" applyBorder="1" applyAlignment="1">
      <alignment horizontal="left" wrapText="1"/>
    </xf>
    <xf numFmtId="0" fontId="20" fillId="0" borderId="1" xfId="0" applyFont="1" applyBorder="1" applyAlignment="1">
      <alignment horizontal="left"/>
    </xf>
    <xf numFmtId="0" fontId="22" fillId="12" borderId="0" xfId="0" applyFont="1" applyFill="1" applyAlignment="1">
      <alignment horizontal="left" vertical="top"/>
    </xf>
    <xf numFmtId="0" fontId="0" fillId="12" borderId="4" xfId="0" applyFill="1" applyBorder="1" applyAlignment="1">
      <alignment horizontal="center"/>
    </xf>
    <xf numFmtId="0" fontId="0" fillId="12" borderId="5" xfId="0" applyFill="1" applyBorder="1" applyAlignment="1">
      <alignment horizontal="center"/>
    </xf>
    <xf numFmtId="0" fontId="0" fillId="12" borderId="13" xfId="0" applyFill="1" applyBorder="1" applyAlignment="1">
      <alignment horizontal="center"/>
    </xf>
    <xf numFmtId="0" fontId="0" fillId="12" borderId="14" xfId="0" applyFill="1" applyBorder="1" applyAlignment="1">
      <alignment horizontal="center"/>
    </xf>
    <xf numFmtId="0" fontId="0" fillId="12" borderId="6" xfId="0" applyFill="1" applyBorder="1" applyAlignment="1">
      <alignment horizontal="center"/>
    </xf>
    <xf numFmtId="0" fontId="0" fillId="12" borderId="7" xfId="0" applyFill="1" applyBorder="1" applyAlignment="1">
      <alignment horizontal="center"/>
    </xf>
    <xf numFmtId="0" fontId="38" fillId="12" borderId="10" xfId="0" applyFont="1" applyFill="1" applyBorder="1" applyAlignment="1">
      <alignment horizontal="center" vertical="center" wrapText="1"/>
    </xf>
    <xf numFmtId="0" fontId="38" fillId="12" borderId="12" xfId="0" applyFont="1" applyFill="1" applyBorder="1" applyAlignment="1">
      <alignment horizontal="center" vertical="center" wrapText="1"/>
    </xf>
    <xf numFmtId="0" fontId="38" fillId="12" borderId="11" xfId="0" applyFont="1" applyFill="1" applyBorder="1" applyAlignment="1">
      <alignment horizontal="center" vertical="center" wrapText="1"/>
    </xf>
    <xf numFmtId="10" fontId="32" fillId="12" borderId="2" xfId="0" applyNumberFormat="1" applyFont="1" applyFill="1" applyBorder="1" applyAlignment="1">
      <alignment horizontal="center" vertical="center" wrapText="1"/>
    </xf>
    <xf numFmtId="10" fontId="32" fillId="12" borderId="8" xfId="0" applyNumberFormat="1" applyFont="1" applyFill="1" applyBorder="1" applyAlignment="1">
      <alignment horizontal="center" vertical="center" wrapText="1"/>
    </xf>
    <xf numFmtId="10" fontId="32" fillId="12" borderId="3" xfId="0" applyNumberFormat="1" applyFont="1" applyFill="1" applyBorder="1" applyAlignment="1">
      <alignment horizontal="center" vertical="center" wrapText="1"/>
    </xf>
    <xf numFmtId="0" fontId="20" fillId="0" borderId="15" xfId="0" applyFont="1" applyBorder="1" applyAlignment="1">
      <alignment horizontal="left" vertical="top"/>
    </xf>
    <xf numFmtId="0" fontId="20" fillId="0" borderId="0" xfId="0" applyFont="1" applyAlignment="1">
      <alignment horizontal="left" vertical="top"/>
    </xf>
    <xf numFmtId="0" fontId="20" fillId="0" borderId="9" xfId="0" applyFont="1" applyBorder="1" applyAlignment="1">
      <alignment horizontal="left" vertical="top"/>
    </xf>
    <xf numFmtId="0" fontId="3" fillId="0" borderId="8" xfId="0" applyFont="1" applyBorder="1" applyAlignment="1">
      <alignment horizontal="center"/>
    </xf>
    <xf numFmtId="0" fontId="0" fillId="12" borderId="1" xfId="0" applyFill="1" applyBorder="1" applyAlignment="1">
      <alignment horizontal="center" wrapText="1"/>
    </xf>
    <xf numFmtId="0" fontId="0" fillId="0" borderId="15" xfId="0" applyBorder="1" applyAlignment="1">
      <alignment horizontal="left" vertical="top"/>
    </xf>
    <xf numFmtId="0" fontId="0" fillId="0" borderId="0" xfId="0" applyAlignment="1">
      <alignment horizontal="left" vertical="top"/>
    </xf>
    <xf numFmtId="0" fontId="0" fillId="0" borderId="1" xfId="0" applyBorder="1" applyAlignment="1">
      <alignment horizontal="center" vertical="center" wrapText="1"/>
    </xf>
    <xf numFmtId="0" fontId="6" fillId="0" borderId="0" xfId="0" applyFont="1" applyAlignment="1">
      <alignment horizontal="center" vertical="center" wrapText="1"/>
    </xf>
    <xf numFmtId="0" fontId="9" fillId="0" borderId="9" xfId="0" applyFont="1" applyBorder="1" applyAlignment="1">
      <alignment horizontal="center" vertical="center" wrapText="1"/>
    </xf>
    <xf numFmtId="0" fontId="9" fillId="0" borderId="9" xfId="0" applyFont="1" applyBorder="1" applyAlignment="1">
      <alignment horizontal="left" vertical="center" wrapText="1"/>
    </xf>
    <xf numFmtId="0" fontId="12" fillId="0" borderId="2" xfId="0" applyFont="1" applyBorder="1" applyAlignment="1">
      <alignment horizontal="center" vertical="center" wrapText="1"/>
    </xf>
    <xf numFmtId="0" fontId="12"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14" fillId="0" borderId="8" xfId="0" applyFont="1" applyBorder="1" applyAlignment="1">
      <alignment horizontal="center" vertical="center" wrapText="1"/>
    </xf>
    <xf numFmtId="0" fontId="12" fillId="0" borderId="1" xfId="0" applyFont="1" applyBorder="1" applyAlignment="1">
      <alignment horizontal="center" vertical="center" wrapText="1"/>
    </xf>
    <xf numFmtId="0" fontId="12" fillId="14" borderId="1" xfId="0" applyFont="1" applyFill="1" applyBorder="1" applyAlignment="1">
      <alignment horizontal="center" vertical="center" wrapText="1"/>
    </xf>
    <xf numFmtId="0" fontId="12" fillId="0" borderId="8" xfId="0" applyFont="1" applyBorder="1" applyAlignment="1">
      <alignment horizontal="center" vertical="center" wrapText="1"/>
    </xf>
    <xf numFmtId="0" fontId="11" fillId="2" borderId="1" xfId="0" applyFont="1" applyFill="1" applyBorder="1" applyAlignment="1">
      <alignment horizontal="center" vertical="center" textRotation="90" wrapText="1"/>
    </xf>
    <xf numFmtId="0" fontId="13" fillId="0" borderId="1" xfId="0" applyFont="1" applyBorder="1" applyAlignment="1">
      <alignment horizontal="center" vertical="center" wrapText="1"/>
    </xf>
    <xf numFmtId="0" fontId="12" fillId="3" borderId="10" xfId="0" applyFont="1" applyFill="1" applyBorder="1" applyAlignment="1">
      <alignment horizontal="center" vertical="center" wrapText="1"/>
    </xf>
    <xf numFmtId="0" fontId="12" fillId="3" borderId="11" xfId="0" applyFont="1" applyFill="1" applyBorder="1" applyAlignment="1">
      <alignment horizontal="center" vertical="center" wrapText="1"/>
    </xf>
    <xf numFmtId="0" fontId="12" fillId="3" borderId="4" xfId="0" applyFont="1" applyFill="1" applyBorder="1" applyAlignment="1">
      <alignment horizontal="center" vertical="center" wrapText="1"/>
    </xf>
    <xf numFmtId="0" fontId="12" fillId="3" borderId="6" xfId="0" applyFont="1" applyFill="1" applyBorder="1" applyAlignment="1">
      <alignment horizontal="center" vertical="center" wrapText="1"/>
    </xf>
    <xf numFmtId="0" fontId="16" fillId="0" borderId="1" xfId="0" applyFont="1" applyBorder="1" applyAlignment="1">
      <alignment horizontal="center" vertical="center" wrapText="1"/>
    </xf>
    <xf numFmtId="0" fontId="12" fillId="5" borderId="2" xfId="0" applyFont="1" applyFill="1" applyBorder="1" applyAlignment="1">
      <alignment horizontal="center" vertical="center" wrapText="1"/>
    </xf>
    <xf numFmtId="0" fontId="12" fillId="5" borderId="3" xfId="0" applyFont="1" applyFill="1" applyBorder="1" applyAlignment="1">
      <alignment horizontal="center" vertical="center" wrapText="1"/>
    </xf>
    <xf numFmtId="0" fontId="12" fillId="7" borderId="2" xfId="0" applyFont="1" applyFill="1" applyBorder="1" applyAlignment="1">
      <alignment horizontal="center" vertical="center" wrapText="1"/>
    </xf>
    <xf numFmtId="0" fontId="12" fillId="7" borderId="3" xfId="0" applyFont="1" applyFill="1" applyBorder="1" applyAlignment="1">
      <alignment horizontal="center" vertical="center" wrapText="1"/>
    </xf>
    <xf numFmtId="0" fontId="12" fillId="7" borderId="8" xfId="0" applyFont="1" applyFill="1" applyBorder="1" applyAlignment="1">
      <alignment horizontal="center" vertical="center" wrapText="1"/>
    </xf>
    <xf numFmtId="0" fontId="12" fillId="5" borderId="10"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2" fillId="5" borderId="12" xfId="0" applyFont="1" applyFill="1" applyBorder="1" applyAlignment="1">
      <alignment horizontal="center" vertical="center" wrapText="1"/>
    </xf>
    <xf numFmtId="0" fontId="12" fillId="6" borderId="10" xfId="0" applyFont="1" applyFill="1" applyBorder="1" applyAlignment="1">
      <alignment horizontal="center" vertical="center" wrapText="1"/>
    </xf>
    <xf numFmtId="0" fontId="12" fillId="6" borderId="11" xfId="0" applyFont="1" applyFill="1" applyBorder="1" applyAlignment="1">
      <alignment horizontal="center" vertical="center" wrapText="1"/>
    </xf>
    <xf numFmtId="0" fontId="12" fillId="7" borderId="10" xfId="0" applyFont="1" applyFill="1" applyBorder="1" applyAlignment="1">
      <alignment horizontal="center" vertical="center" wrapText="1"/>
    </xf>
    <xf numFmtId="0" fontId="12" fillId="7" borderId="11" xfId="0" applyFont="1" applyFill="1" applyBorder="1" applyAlignment="1">
      <alignment horizontal="center" vertical="center" wrapText="1"/>
    </xf>
    <xf numFmtId="0" fontId="12" fillId="7" borderId="4" xfId="0" applyFont="1" applyFill="1" applyBorder="1" applyAlignment="1">
      <alignment horizontal="center" vertical="center" wrapText="1"/>
    </xf>
    <xf numFmtId="0" fontId="12" fillId="7" borderId="5" xfId="0" applyFont="1" applyFill="1" applyBorder="1" applyAlignment="1">
      <alignment horizontal="center" vertical="center" wrapText="1"/>
    </xf>
    <xf numFmtId="0" fontId="12" fillId="7" borderId="13" xfId="0" applyFont="1" applyFill="1" applyBorder="1" applyAlignment="1">
      <alignment horizontal="center" vertical="center" wrapText="1"/>
    </xf>
    <xf numFmtId="0" fontId="12" fillId="7" borderId="14" xfId="0" applyFont="1" applyFill="1" applyBorder="1" applyAlignment="1">
      <alignment horizontal="center" vertical="center" wrapText="1"/>
    </xf>
    <xf numFmtId="0" fontId="12" fillId="7" borderId="6" xfId="0" applyFont="1" applyFill="1" applyBorder="1" applyAlignment="1">
      <alignment horizontal="center" vertical="center" wrapText="1"/>
    </xf>
    <xf numFmtId="0" fontId="12" fillId="7" borderId="7" xfId="0" applyFont="1" applyFill="1" applyBorder="1" applyAlignment="1">
      <alignment horizontal="center" vertical="center" wrapText="1"/>
    </xf>
    <xf numFmtId="0" fontId="12" fillId="6" borderId="12" xfId="0" applyFont="1" applyFill="1" applyBorder="1" applyAlignment="1">
      <alignment horizontal="center" vertical="center" wrapText="1"/>
    </xf>
    <xf numFmtId="0" fontId="12" fillId="8"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2" fillId="8" borderId="2" xfId="0" applyFont="1" applyFill="1" applyBorder="1" applyAlignment="1">
      <alignment horizontal="center" vertical="center" wrapText="1"/>
    </xf>
    <xf numFmtId="0" fontId="12" fillId="8" borderId="8" xfId="0" applyFont="1" applyFill="1" applyBorder="1" applyAlignment="1">
      <alignment horizontal="center" vertical="center" wrapText="1"/>
    </xf>
    <xf numFmtId="0" fontId="12" fillId="8" borderId="3" xfId="0" applyFont="1" applyFill="1" applyBorder="1" applyAlignment="1">
      <alignment horizontal="center" vertical="center" wrapText="1"/>
    </xf>
    <xf numFmtId="0" fontId="12" fillId="3" borderId="1" xfId="0" applyFont="1" applyFill="1" applyBorder="1" applyAlignment="1">
      <alignment horizontal="center" vertical="center" wrapText="1"/>
    </xf>
    <xf numFmtId="0" fontId="12" fillId="8" borderId="4" xfId="0" applyFont="1" applyFill="1" applyBorder="1" applyAlignment="1">
      <alignment horizontal="center" vertical="center" wrapText="1"/>
    </xf>
    <xf numFmtId="0" fontId="12" fillId="8" borderId="5" xfId="0" applyFont="1" applyFill="1" applyBorder="1" applyAlignment="1">
      <alignment horizontal="center" vertical="center" wrapText="1"/>
    </xf>
    <xf numFmtId="0" fontId="12" fillId="8" borderId="13" xfId="0" applyFont="1" applyFill="1" applyBorder="1" applyAlignment="1">
      <alignment horizontal="center" vertical="center" wrapText="1"/>
    </xf>
    <xf numFmtId="0" fontId="12" fillId="8" borderId="14" xfId="0" applyFont="1" applyFill="1" applyBorder="1" applyAlignment="1">
      <alignment horizontal="center" vertical="center" wrapText="1"/>
    </xf>
    <xf numFmtId="0" fontId="12" fillId="8" borderId="6" xfId="0" applyFont="1" applyFill="1" applyBorder="1" applyAlignment="1">
      <alignment horizontal="center" vertical="center" wrapText="1"/>
    </xf>
    <xf numFmtId="0" fontId="12" fillId="8" borderId="7" xfId="0" applyFont="1" applyFill="1" applyBorder="1" applyAlignment="1">
      <alignment horizontal="center" vertical="center" wrapText="1"/>
    </xf>
    <xf numFmtId="0" fontId="12" fillId="9" borderId="10" xfId="0" applyFont="1" applyFill="1" applyBorder="1" applyAlignment="1">
      <alignment horizontal="center" vertical="center" wrapText="1"/>
    </xf>
    <xf numFmtId="0" fontId="12" fillId="9" borderId="11" xfId="0" applyFont="1" applyFill="1" applyBorder="1" applyAlignment="1">
      <alignment horizontal="center" vertical="center" wrapText="1"/>
    </xf>
    <xf numFmtId="0" fontId="12" fillId="9" borderId="4" xfId="0" applyFont="1" applyFill="1" applyBorder="1" applyAlignment="1">
      <alignment horizontal="center" vertical="center" wrapText="1"/>
    </xf>
    <xf numFmtId="0" fontId="12" fillId="9" borderId="5" xfId="0" applyFont="1" applyFill="1" applyBorder="1" applyAlignment="1">
      <alignment horizontal="center" vertical="center" wrapText="1"/>
    </xf>
    <xf numFmtId="0" fontId="12" fillId="9" borderId="6" xfId="0" applyFont="1" applyFill="1" applyBorder="1" applyAlignment="1">
      <alignment horizontal="center" vertical="center" wrapText="1"/>
    </xf>
    <xf numFmtId="0" fontId="12" fillId="9" borderId="7" xfId="0" applyFont="1" applyFill="1" applyBorder="1" applyAlignment="1">
      <alignment horizontal="center" vertical="center" wrapText="1"/>
    </xf>
    <xf numFmtId="0" fontId="12" fillId="0" borderId="4" xfId="0" applyFont="1" applyBorder="1" applyAlignment="1">
      <alignment horizontal="center" vertical="center" wrapText="1"/>
    </xf>
    <xf numFmtId="0" fontId="12" fillId="0" borderId="5" xfId="0" applyFont="1" applyBorder="1" applyAlignment="1">
      <alignment horizontal="center" vertical="center" wrapText="1"/>
    </xf>
    <xf numFmtId="0" fontId="12" fillId="0" borderId="6" xfId="0" applyFont="1" applyBorder="1" applyAlignment="1">
      <alignment horizontal="center" vertical="center" wrapText="1"/>
    </xf>
    <xf numFmtId="0" fontId="12" fillId="0" borderId="7" xfId="0" applyFont="1" applyBorder="1" applyAlignment="1">
      <alignment horizontal="center" vertical="center" wrapText="1"/>
    </xf>
    <xf numFmtId="0" fontId="12" fillId="4" borderId="10" xfId="0" applyFont="1" applyFill="1" applyBorder="1" applyAlignment="1">
      <alignment horizontal="center" vertical="center" wrapText="1"/>
    </xf>
    <xf numFmtId="0" fontId="12" fillId="4" borderId="11" xfId="0" applyFont="1" applyFill="1" applyBorder="1" applyAlignment="1">
      <alignment horizontal="center" vertical="center" wrapText="1"/>
    </xf>
    <xf numFmtId="0" fontId="12" fillId="4" borderId="1" xfId="0" applyFont="1" applyFill="1" applyBorder="1" applyAlignment="1">
      <alignment horizontal="center" vertical="center" wrapText="1"/>
    </xf>
    <xf numFmtId="0" fontId="10" fillId="10" borderId="1" xfId="0" applyFont="1" applyFill="1" applyBorder="1" applyAlignment="1">
      <alignment horizontal="center" vertical="center" textRotation="90" wrapText="1"/>
    </xf>
    <xf numFmtId="0" fontId="14" fillId="0" borderId="3" xfId="0" applyFont="1" applyBorder="1" applyAlignment="1">
      <alignment horizontal="center" vertical="center" wrapText="1"/>
    </xf>
    <xf numFmtId="0" fontId="10" fillId="4" borderId="1" xfId="0" applyFont="1" applyFill="1" applyBorder="1" applyAlignment="1">
      <alignment horizontal="center" vertical="center" textRotation="90" wrapText="1"/>
    </xf>
    <xf numFmtId="0" fontId="12" fillId="0" borderId="13" xfId="0" applyFont="1" applyBorder="1" applyAlignment="1">
      <alignment horizontal="center" vertical="center" wrapText="1"/>
    </xf>
    <xf numFmtId="0" fontId="12" fillId="0" borderId="14" xfId="0" applyFont="1" applyBorder="1" applyAlignment="1">
      <alignment horizontal="center" vertical="center" wrapText="1"/>
    </xf>
    <xf numFmtId="0" fontId="12" fillId="0" borderId="9" xfId="0" applyFont="1" applyBorder="1" applyAlignment="1">
      <alignment horizontal="center" vertical="center" wrapText="1"/>
    </xf>
    <xf numFmtId="0" fontId="10" fillId="11" borderId="1" xfId="0" applyFont="1" applyFill="1" applyBorder="1" applyAlignment="1">
      <alignment horizontal="center" vertical="center" textRotation="90" wrapText="1"/>
    </xf>
    <xf numFmtId="0" fontId="12" fillId="0" borderId="2" xfId="0" applyFont="1" applyBorder="1" applyAlignment="1">
      <alignment horizontal="right" vertical="center" wrapText="1"/>
    </xf>
    <xf numFmtId="0" fontId="12" fillId="0" borderId="3" xfId="0" applyFont="1" applyBorder="1" applyAlignment="1">
      <alignment horizontal="right" vertical="center" wrapText="1"/>
    </xf>
    <xf numFmtId="0" fontId="2" fillId="0" borderId="4" xfId="0" applyFont="1" applyBorder="1" applyAlignment="1">
      <alignment horizontal="left" vertical="top" wrapText="1"/>
    </xf>
    <xf numFmtId="0" fontId="5" fillId="0" borderId="15" xfId="0" applyFont="1" applyBorder="1" applyAlignment="1">
      <alignment horizontal="left" vertical="top" wrapText="1"/>
    </xf>
    <xf numFmtId="0" fontId="5" fillId="0" borderId="5" xfId="0" applyFont="1" applyBorder="1" applyAlignment="1">
      <alignment horizontal="left" vertical="top" wrapText="1"/>
    </xf>
    <xf numFmtId="0" fontId="5" fillId="0" borderId="13" xfId="0" applyFont="1" applyBorder="1" applyAlignment="1">
      <alignment horizontal="left" vertical="top" wrapText="1"/>
    </xf>
    <xf numFmtId="0" fontId="5" fillId="0" borderId="0" xfId="0" applyFont="1" applyAlignment="1">
      <alignment horizontal="left" vertical="top" wrapText="1"/>
    </xf>
    <xf numFmtId="0" fontId="5" fillId="0" borderId="14" xfId="0" applyFont="1" applyBorder="1" applyAlignment="1">
      <alignment horizontal="left" vertical="top" wrapText="1"/>
    </xf>
    <xf numFmtId="0" fontId="5" fillId="0" borderId="6" xfId="0" applyFont="1" applyBorder="1" applyAlignment="1">
      <alignment horizontal="left" vertical="top" wrapText="1"/>
    </xf>
    <xf numFmtId="0" fontId="5" fillId="0" borderId="9" xfId="0" applyFont="1" applyBorder="1" applyAlignment="1">
      <alignment horizontal="left" vertical="top" wrapText="1"/>
    </xf>
    <xf numFmtId="0" fontId="5" fillId="0" borderId="7" xfId="0" applyFont="1" applyBorder="1" applyAlignment="1">
      <alignment horizontal="left" vertical="top" wrapText="1"/>
    </xf>
    <xf numFmtId="0" fontId="17" fillId="0" borderId="2" xfId="0" applyFont="1" applyBorder="1" applyAlignment="1">
      <alignment horizontal="center" vertical="center" wrapText="1"/>
    </xf>
    <xf numFmtId="0" fontId="17" fillId="0" borderId="8" xfId="0" applyFont="1" applyBorder="1" applyAlignment="1">
      <alignment horizontal="center" vertical="center" wrapText="1"/>
    </xf>
    <xf numFmtId="0" fontId="17" fillId="0" borderId="3" xfId="0" applyFont="1" applyBorder="1" applyAlignment="1">
      <alignment horizontal="center" vertical="center" wrapText="1"/>
    </xf>
    <xf numFmtId="0" fontId="5" fillId="12" borderId="15" xfId="0" applyFont="1" applyFill="1" applyBorder="1" applyAlignment="1">
      <alignment horizontal="left" vertical="top" wrapText="1"/>
    </xf>
    <xf numFmtId="0" fontId="5" fillId="12" borderId="15" xfId="0" applyFont="1" applyFill="1" applyBorder="1" applyAlignment="1">
      <alignment horizontal="left" vertical="top"/>
    </xf>
    <xf numFmtId="0" fontId="33" fillId="0" borderId="0" xfId="0" applyFont="1" applyAlignment="1">
      <alignment horizontal="left" vertical="top"/>
    </xf>
    <xf numFmtId="0" fontId="0" fillId="12" borderId="0" xfId="0" applyFill="1" applyAlignment="1">
      <alignment horizontal="left" vertical="center"/>
    </xf>
    <xf numFmtId="0" fontId="33" fillId="0" borderId="15" xfId="0" applyFont="1" applyBorder="1" applyAlignment="1">
      <alignment horizontal="left"/>
    </xf>
    <xf numFmtId="0" fontId="33" fillId="12" borderId="0" xfId="0" applyFont="1" applyFill="1" applyAlignment="1">
      <alignment horizontal="left" vertical="top"/>
    </xf>
  </cellXfs>
  <cellStyles count="1">
    <cellStyle name="Normal" xfId="0" builtinId="0"/>
  </cellStyles>
  <dxfs count="0"/>
  <tableStyles count="0" defaultTableStyle="TableStyleMedium2" defaultPivotStyle="PivotStyleLight16"/>
  <colors>
    <mruColors>
      <color rgb="FF3366FF"/>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zh-CN" altLang="en-US" sz="1200"/>
              <a:t>有效粘度 </a:t>
            </a:r>
            <a:r>
              <a:rPr lang="en-US" altLang="zh-CN" sz="1200"/>
              <a:t>MPa*s Effective Viscosity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4649587640407508"/>
          <c:y val="0.12924423062164087"/>
          <c:w val="0.81070538576042916"/>
          <c:h val="0.64555330138911604"/>
        </c:manualLayout>
      </c:layout>
      <c:scatterChart>
        <c:scatterStyle val="smoothMarker"/>
        <c:varyColors val="0"/>
        <c:ser>
          <c:idx val="0"/>
          <c:order val="0"/>
          <c:tx>
            <c:strRef>
              <c:f>'粘度曲线Viscosity Curve'!$H$13:$H$15</c:f>
              <c:strCache>
                <c:ptCount val="3"/>
                <c:pt idx="0">
                  <c:v>有效粘度
Effective Viscosity</c:v>
                </c:pt>
                <c:pt idx="2">
                  <c:v>MPa*s</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dLbl>
              <c:idx val="3"/>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layout>
                    <c:manualLayout>
                      <c:w val="6.0269920999299516E-2"/>
                      <c:h val="9.9024881730275655E-2"/>
                    </c:manualLayout>
                  </c15:layout>
                </c:ext>
                <c:ext xmlns:c16="http://schemas.microsoft.com/office/drawing/2014/chart" uri="{C3380CC4-5D6E-409C-BE32-E72D297353CC}">
                  <c16:uniqueId val="{00000000-746B-4098-8AE6-8E709AA489A8}"/>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'粘度曲线Viscosity Curve'!$G$16:$G$22</c:f>
              <c:numCache>
                <c:formatCode>0.000</c:formatCode>
                <c:ptCount val="7"/>
                <c:pt idx="0">
                  <c:v>0.42553191489361702</c:v>
                </c:pt>
                <c:pt idx="1">
                  <c:v>0.38461538461538458</c:v>
                </c:pt>
                <c:pt idx="2">
                  <c:v>0.37174721189591081</c:v>
                </c:pt>
                <c:pt idx="3">
                  <c:v>0.30769230769230771</c:v>
                </c:pt>
                <c:pt idx="4">
                  <c:v>0.25974025974025972</c:v>
                </c:pt>
                <c:pt idx="5">
                  <c:v>0.16129032258064516</c:v>
                </c:pt>
                <c:pt idx="6">
                  <c:v>4.4189129474149359E-2</c:v>
                </c:pt>
              </c:numCache>
            </c:numRef>
          </c:xVal>
          <c:yVal>
            <c:numRef>
              <c:f>'粘度曲线Viscosity Curve'!$H$16:$H$22</c:f>
              <c:numCache>
                <c:formatCode>General</c:formatCode>
                <c:ptCount val="7"/>
                <c:pt idx="0">
                  <c:v>385.40000000000003</c:v>
                </c:pt>
                <c:pt idx="1">
                  <c:v>403</c:v>
                </c:pt>
                <c:pt idx="2">
                  <c:v>403.5</c:v>
                </c:pt>
                <c:pt idx="3">
                  <c:v>461.5</c:v>
                </c:pt>
                <c:pt idx="4">
                  <c:v>512.05000000000007</c:v>
                </c:pt>
                <c:pt idx="5">
                  <c:v>688.2</c:v>
                </c:pt>
                <c:pt idx="6">
                  <c:v>2149.85</c:v>
                </c:pt>
              </c:numCache>
            </c:numRef>
          </c:yVal>
          <c:smooth val="1"/>
          <c:extLst>
            <c:ext xmlns:c16="http://schemas.microsoft.com/office/drawing/2014/chart" uri="{C3380CC4-5D6E-409C-BE32-E72D297353CC}">
              <c16:uniqueId val="{00000000-6343-4B0D-A576-1ADCD8C59607}"/>
            </c:ext>
          </c:extLst>
        </c:ser>
        <c:dLbls>
          <c:showLegendKey val="0"/>
          <c:showVal val="0"/>
          <c:showCatName val="0"/>
          <c:showSerName val="0"/>
          <c:showPercent val="0"/>
          <c:showBubbleSize val="0"/>
        </c:dLbls>
        <c:axId val="1181404528"/>
        <c:axId val="1181405008"/>
      </c:scatterChart>
      <c:valAx>
        <c:axId val="1181404528"/>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zh-CN" altLang="en-US"/>
                  <a:t>剪切率</a:t>
                </a:r>
              </a:p>
            </c:rich>
          </c:tx>
          <c:layout>
            <c:manualLayout>
              <c:xMode val="edge"/>
              <c:yMode val="edge"/>
              <c:x val="0.87402296356723475"/>
              <c:y val="0.88244691735686254"/>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0" sourceLinked="1"/>
        <c:majorTickMark val="none"/>
        <c:minorTickMark val="none"/>
        <c:tickLblPos val="nextTo"/>
        <c:spPr>
          <a:noFill/>
          <a:ln w="19050" cap="flat" cmpd="sng" algn="ctr">
            <a:solidFill>
              <a:srgbClr val="FF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405008"/>
        <c:crosses val="autoZero"/>
        <c:crossBetween val="midCat"/>
      </c:valAx>
      <c:valAx>
        <c:axId val="118140500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zh-CN" altLang="en-US" sz="900"/>
                  <a:t>有效粘度</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rgbClr val="FF0000"/>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1404528"/>
        <c:crosses val="autoZero"/>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317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7.6310518491778792E-2"/>
          <c:y val="0.17001051763836381"/>
          <c:w val="0.88866878746173916"/>
          <c:h val="0.58709863433135845"/>
        </c:manualLayout>
      </c:layout>
      <c:barChart>
        <c:barDir val="col"/>
        <c:grouping val="clustered"/>
        <c:varyColors val="0"/>
        <c:ser>
          <c:idx val="0"/>
          <c:order val="0"/>
          <c:tx>
            <c:strRef>
              <c:f>'动态压力降测试Dynamic pressure  test'!$F$21</c:f>
              <c:strCache>
                <c:ptCount val="1"/>
                <c:pt idx="0">
                  <c:v>峰值压力
Peak pressure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'动态压力降测试Dynamic pressure  test'!$D$22:$E$26</c:f>
              <c:multiLvlStrCache>
                <c:ptCount val="5"/>
                <c:lvl>
                  <c:pt idx="0">
                    <c:v>喷咀Nozzle</c:v>
                  </c:pt>
                  <c:pt idx="1">
                    <c:v>流道Runner</c:v>
                  </c:pt>
                  <c:pt idx="2">
                    <c:v>浇口Gate</c:v>
                  </c:pt>
                  <c:pt idx="3">
                    <c:v>50%产品
fill 50% part</c:v>
                  </c:pt>
                  <c:pt idx="4">
                    <c:v>产品V/P
V/P part</c:v>
                  </c:pt>
                </c:lvl>
                <c:lvl>
                  <c:pt idx="0">
                    <c:v>1</c:v>
                  </c:pt>
                  <c:pt idx="1">
                    <c:v>2</c:v>
                  </c:pt>
                  <c:pt idx="2">
                    <c:v>3</c:v>
                  </c:pt>
                  <c:pt idx="3">
                    <c:v>4</c:v>
                  </c:pt>
                  <c:pt idx="4">
                    <c:v>5</c:v>
                  </c:pt>
                </c:lvl>
              </c:multiLvlStrCache>
            </c:multiLvlStrRef>
          </c:cat>
          <c:val>
            <c:numRef>
              <c:f>'动态压力降测试Dynamic pressure  test'!$F$22:$F$26</c:f>
              <c:numCache>
                <c:formatCode>General</c:formatCode>
                <c:ptCount val="5"/>
                <c:pt idx="0">
                  <c:v>0</c:v>
                </c:pt>
                <c:pt idx="1">
                  <c:v>49</c:v>
                </c:pt>
                <c:pt idx="2">
                  <c:v>63</c:v>
                </c:pt>
                <c:pt idx="3">
                  <c:v>151</c:v>
                </c:pt>
                <c:pt idx="4">
                  <c:v>160</c:v>
                </c:pt>
              </c:numCache>
            </c:numRef>
          </c:val>
          <c:extLst>
            <c:ext xmlns:c16="http://schemas.microsoft.com/office/drawing/2014/chart" uri="{C3380CC4-5D6E-409C-BE32-E72D297353CC}">
              <c16:uniqueId val="{00000000-6423-45DF-96F6-FAF904993762}"/>
            </c:ext>
          </c:extLst>
        </c:ser>
        <c:dLbls>
          <c:showLegendKey val="0"/>
          <c:showVal val="0"/>
          <c:showCatName val="0"/>
          <c:showSerName val="0"/>
          <c:showPercent val="0"/>
          <c:showBubbleSize val="0"/>
        </c:dLbls>
        <c:gapWidth val="219"/>
        <c:overlap val="-27"/>
        <c:axId val="1826663104"/>
        <c:axId val="1826663584"/>
      </c:barChart>
      <c:catAx>
        <c:axId val="182666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663584"/>
        <c:crosses val="autoZero"/>
        <c:auto val="1"/>
        <c:lblAlgn val="ctr"/>
        <c:lblOffset val="100"/>
        <c:noMultiLvlLbl val="0"/>
      </c:catAx>
      <c:valAx>
        <c:axId val="182666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6631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'浇口冻结测试Gate freezing test'!$C$20</c:f>
              <c:strCache>
                <c:ptCount val="1"/>
                <c:pt idx="0">
                  <c:v>零件重量
Part weight(g)</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xVal>
            <c:numRef>
              <c:f>'浇口冻结测试Gate freezing test'!$B$21:$B$30</c:f>
              <c:numCache>
                <c:formatCode>General</c:formatCode>
                <c:ptCount val="10"/>
                <c:pt idx="0">
                  <c:v>3</c:v>
                </c:pt>
                <c:pt idx="1">
                  <c:v>4</c:v>
                </c:pt>
                <c:pt idx="2">
                  <c:v>5</c:v>
                </c:pt>
                <c:pt idx="3">
                  <c:v>6</c:v>
                </c:pt>
                <c:pt idx="4">
                  <c:v>7</c:v>
                </c:pt>
                <c:pt idx="5">
                  <c:v>8</c:v>
                </c:pt>
                <c:pt idx="6">
                  <c:v>9</c:v>
                </c:pt>
                <c:pt idx="7">
                  <c:v>10</c:v>
                </c:pt>
                <c:pt idx="8">
                  <c:v>11</c:v>
                </c:pt>
                <c:pt idx="9">
                  <c:v>12</c:v>
                </c:pt>
              </c:numCache>
            </c:numRef>
          </c:xVal>
          <c:yVal>
            <c:numRef>
              <c:f>'浇口冻结测试Gate freezing test'!$C$21:$C$30</c:f>
              <c:numCache>
                <c:formatCode>General</c:formatCode>
                <c:ptCount val="10"/>
                <c:pt idx="0">
                  <c:v>447</c:v>
                </c:pt>
                <c:pt idx="1">
                  <c:v>449</c:v>
                </c:pt>
                <c:pt idx="2">
                  <c:v>450</c:v>
                </c:pt>
                <c:pt idx="3">
                  <c:v>451.9</c:v>
                </c:pt>
                <c:pt idx="4">
                  <c:v>452.7</c:v>
                </c:pt>
                <c:pt idx="5">
                  <c:v>453.7</c:v>
                </c:pt>
                <c:pt idx="6">
                  <c:v>454.6</c:v>
                </c:pt>
                <c:pt idx="7">
                  <c:v>455</c:v>
                </c:pt>
                <c:pt idx="8">
                  <c:v>456</c:v>
                </c:pt>
                <c:pt idx="9">
                  <c:v>456</c:v>
                </c:pt>
              </c:numCache>
            </c:numRef>
          </c:yVal>
          <c:smooth val="0"/>
          <c:extLst>
            <c:ext xmlns:c16="http://schemas.microsoft.com/office/drawing/2014/chart" uri="{C3380CC4-5D6E-409C-BE32-E72D297353CC}">
              <c16:uniqueId val="{00000000-89BC-4BFD-B4C3-497B27D1AB7B}"/>
            </c:ext>
          </c:extLst>
        </c:ser>
        <c:dLbls>
          <c:showLegendKey val="0"/>
          <c:showVal val="0"/>
          <c:showCatName val="0"/>
          <c:showSerName val="0"/>
          <c:showPercent val="0"/>
          <c:showBubbleSize val="0"/>
        </c:dLbls>
        <c:axId val="462435967"/>
        <c:axId val="462436927"/>
      </c:scatterChart>
      <c:valAx>
        <c:axId val="46243596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zh-CN" altLang="en-US" sz="1000" b="1" i="0" u="none" strike="noStrike" kern="1200" baseline="0">
                    <a:solidFill>
                      <a:sysClr val="windowText" lastClr="000000">
                        <a:lumMod val="65000"/>
                        <a:lumOff val="35000"/>
                      </a:sysClr>
                    </a:solidFill>
                  </a:rPr>
                  <a:t>保压时间</a:t>
                </a:r>
                <a:r>
                  <a:rPr lang="en-US" altLang="zh-CN" sz="1000" b="1" i="0" u="none" strike="noStrike" kern="1200" baseline="0">
                    <a:solidFill>
                      <a:sysClr val="windowText" lastClr="000000">
                        <a:lumMod val="65000"/>
                        <a:lumOff val="35000"/>
                      </a:sysClr>
                    </a:solidFill>
                  </a:rPr>
                  <a:t>/S</a:t>
                </a:r>
                <a:endParaRPr lang="zh-CN" altLang="en-US" sz="1000" b="1" i="0" u="none" strike="noStrike" kern="1200" baseline="0">
                  <a:solidFill>
                    <a:sysClr val="windowText" lastClr="000000">
                      <a:lumMod val="65000"/>
                      <a:lumOff val="35000"/>
                    </a:sysClr>
                  </a:solidFill>
                </a:endParaRPr>
              </a:p>
            </c:rich>
          </c:tx>
          <c:layout>
            <c:manualLayout>
              <c:xMode val="edge"/>
              <c:yMode val="edge"/>
              <c:x val="0.82876351261177084"/>
              <c:y val="0.9328214536010224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zh-CN" altLang="en-US"/>
            </a:p>
          </c:txPr>
        </c:title>
        <c:numFmt formatCode="General" sourceLinked="1"/>
        <c:majorTickMark val="none"/>
        <c:minorTickMark val="none"/>
        <c:tickLblPos val="nextTo"/>
        <c:spPr>
          <a:noFill/>
          <a:ln w="19050" cap="flat" cmpd="sng" algn="ctr">
            <a:solidFill>
              <a:srgbClr val="FF0000"/>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462436927"/>
        <c:crosses val="autoZero"/>
        <c:crossBetween val="midCat"/>
      </c:valAx>
      <c:valAx>
        <c:axId val="46243692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zh-CN" altLang="en-US" sz="1000" b="1" i="0" u="none" strike="noStrike" kern="1200" baseline="0">
                    <a:solidFill>
                      <a:sysClr val="windowText" lastClr="000000">
                        <a:lumMod val="65000"/>
                        <a:lumOff val="35000"/>
                      </a:sysClr>
                    </a:solidFill>
                  </a:rPr>
                  <a:t>平均产品重量</a:t>
                </a:r>
                <a:r>
                  <a:rPr lang="en-US" altLang="zh-CN" sz="1000" b="1" i="0" u="none" strike="noStrike" kern="1200" baseline="0">
                    <a:solidFill>
                      <a:sysClr val="windowText" lastClr="000000">
                        <a:lumMod val="65000"/>
                        <a:lumOff val="35000"/>
                      </a:sysClr>
                    </a:solidFill>
                  </a:rPr>
                  <a:t>/shot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rgbClr val="FF0000"/>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462435967"/>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'锁模力优化Optimization of clamping f'!$E$17</c:f>
              <c:strCache>
                <c:ptCount val="1"/>
                <c:pt idx="0">
                  <c:v>产品重量
Part weight
（g）</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'锁模力优化Optimization of clamping f'!$D$18:$D$23</c:f>
              <c:numCache>
                <c:formatCode>General</c:formatCode>
                <c:ptCount val="6"/>
                <c:pt idx="0">
                  <c:v>160</c:v>
                </c:pt>
                <c:pt idx="1">
                  <c:v>140</c:v>
                </c:pt>
                <c:pt idx="2">
                  <c:v>130</c:v>
                </c:pt>
                <c:pt idx="3">
                  <c:v>120</c:v>
                </c:pt>
                <c:pt idx="4">
                  <c:v>110</c:v>
                </c:pt>
                <c:pt idx="5">
                  <c:v>100</c:v>
                </c:pt>
              </c:numCache>
            </c:numRef>
          </c:xVal>
          <c:yVal>
            <c:numRef>
              <c:f>'锁模力优化Optimization of clamping f'!$E$18:$E$23</c:f>
              <c:numCache>
                <c:formatCode>General</c:formatCode>
                <c:ptCount val="6"/>
                <c:pt idx="0">
                  <c:v>305</c:v>
                </c:pt>
                <c:pt idx="1">
                  <c:v>305</c:v>
                </c:pt>
                <c:pt idx="2">
                  <c:v>305</c:v>
                </c:pt>
                <c:pt idx="3">
                  <c:v>305</c:v>
                </c:pt>
                <c:pt idx="4">
                  <c:v>306</c:v>
                </c:pt>
                <c:pt idx="5">
                  <c:v>308</c:v>
                </c:pt>
              </c:numCache>
            </c:numRef>
          </c:yVal>
          <c:smooth val="0"/>
          <c:extLst>
            <c:ext xmlns:c16="http://schemas.microsoft.com/office/drawing/2014/chart" uri="{C3380CC4-5D6E-409C-BE32-E72D297353CC}">
              <c16:uniqueId val="{00000000-0F42-40FF-98A7-1C1D4993CBDA}"/>
            </c:ext>
          </c:extLst>
        </c:ser>
        <c:dLbls>
          <c:showLegendKey val="0"/>
          <c:showVal val="0"/>
          <c:showCatName val="0"/>
          <c:showSerName val="0"/>
          <c:showPercent val="0"/>
          <c:showBubbleSize val="0"/>
        </c:dLbls>
        <c:axId val="588114208"/>
        <c:axId val="588125728"/>
      </c:scatterChart>
      <c:valAx>
        <c:axId val="588114208"/>
        <c:scaling>
          <c:orientation val="minMax"/>
          <c:min val="2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zh-CN" altLang="en-US"/>
                  <a:t>锁模力</a:t>
                </a:r>
              </a:p>
            </c:rich>
          </c:tx>
          <c:layout>
            <c:manualLayout>
              <c:xMode val="edge"/>
              <c:yMode val="edge"/>
              <c:x val="0.81517834784786192"/>
              <c:y val="0.8863425925925926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125728"/>
        <c:crosses val="autoZero"/>
        <c:crossBetween val="midCat"/>
        <c:majorUnit val="20"/>
        <c:minorUnit val="2"/>
      </c:valAx>
      <c:valAx>
        <c:axId val="588125728"/>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zh-CN" altLang="en-US"/>
                  <a:t>产品重量（</a:t>
                </a:r>
                <a:r>
                  <a:rPr lang="en-US" altLang="zh-CN"/>
                  <a:t>g</a:t>
                </a:r>
                <a:r>
                  <a:rPr lang="zh-CN" altLang="en-US"/>
                  <a: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8114208"/>
        <c:crossesAt val="20"/>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 Id="rId4" Type="http://schemas.openxmlformats.org/officeDocument/2006/relationships/image" Target="../media/image4.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8.xml.rels><?xml version="1.0" encoding="UTF-8" standalone="yes"?>
<Relationships xmlns="http://schemas.openxmlformats.org/package/2006/relationships"><Relationship Id="rId1" Type="http://schemas.openxmlformats.org/officeDocument/2006/relationships/image" Target="../media/image5.jpeg"/></Relationships>
</file>

<file path=xl/drawings/_rels/drawing9.xml.rels><?xml version="1.0" encoding="UTF-8" standalone="yes"?>
<Relationships xmlns="http://schemas.openxmlformats.org/package/2006/relationships"><Relationship Id="rId2" Type="http://schemas.openxmlformats.org/officeDocument/2006/relationships/image" Target="../media/image7.png"/><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editAs="oneCell">
    <xdr:from>
      <xdr:col>1</xdr:col>
      <xdr:colOff>464820</xdr:colOff>
      <xdr:row>2</xdr:row>
      <xdr:rowOff>60960</xdr:rowOff>
    </xdr:from>
    <xdr:to>
      <xdr:col>1</xdr:col>
      <xdr:colOff>861060</xdr:colOff>
      <xdr:row>2</xdr:row>
      <xdr:rowOff>457200</xdr:rowOff>
    </xdr:to>
    <xdr:pic>
      <xdr:nvPicPr>
        <xdr:cNvPr id="3" name="图形 2" descr="复选标记 纯色填充">
          <a:extLst>
            <a:ext uri="{FF2B5EF4-FFF2-40B4-BE49-F238E27FC236}">
              <a16:creationId xmlns:a16="http://schemas.microsoft.com/office/drawing/2014/main" id="{5123917C-4BBA-2513-3075-8D23236626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60220" y="1516380"/>
          <a:ext cx="396240" cy="396240"/>
        </a:xfrm>
        <a:prstGeom prst="rect">
          <a:avLst/>
        </a:prstGeom>
      </xdr:spPr>
    </xdr:pic>
    <xdr:clientData/>
  </xdr:twoCellAnchor>
  <xdr:twoCellAnchor editAs="oneCell">
    <xdr:from>
      <xdr:col>4</xdr:col>
      <xdr:colOff>441960</xdr:colOff>
      <xdr:row>2</xdr:row>
      <xdr:rowOff>38100</xdr:rowOff>
    </xdr:from>
    <xdr:to>
      <xdr:col>4</xdr:col>
      <xdr:colOff>838200</xdr:colOff>
      <xdr:row>2</xdr:row>
      <xdr:rowOff>434340</xdr:rowOff>
    </xdr:to>
    <xdr:pic>
      <xdr:nvPicPr>
        <xdr:cNvPr id="2" name="图形 1" descr="复选标记 纯色填充">
          <a:extLst>
            <a:ext uri="{FF2B5EF4-FFF2-40B4-BE49-F238E27FC236}">
              <a16:creationId xmlns:a16="http://schemas.microsoft.com/office/drawing/2014/main" id="{A8F52741-E699-8D65-4F08-98C1F273E11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02580" y="1493520"/>
          <a:ext cx="396240" cy="396240"/>
        </a:xfrm>
        <a:prstGeom prst="rect">
          <a:avLst/>
        </a:prstGeom>
      </xdr:spPr>
    </xdr:pic>
    <xdr:clientData/>
  </xdr:twoCellAnchor>
  <xdr:twoCellAnchor editAs="oneCell">
    <xdr:from>
      <xdr:col>1</xdr:col>
      <xdr:colOff>449580</xdr:colOff>
      <xdr:row>5</xdr:row>
      <xdr:rowOff>106680</xdr:rowOff>
    </xdr:from>
    <xdr:to>
      <xdr:col>1</xdr:col>
      <xdr:colOff>845820</xdr:colOff>
      <xdr:row>5</xdr:row>
      <xdr:rowOff>502920</xdr:rowOff>
    </xdr:to>
    <xdr:pic>
      <xdr:nvPicPr>
        <xdr:cNvPr id="4" name="图形 3" descr="复选标记 纯色填充">
          <a:extLst>
            <a:ext uri="{FF2B5EF4-FFF2-40B4-BE49-F238E27FC236}">
              <a16:creationId xmlns:a16="http://schemas.microsoft.com/office/drawing/2014/main" id="{198B56ED-2013-B709-665A-A72865FD0AB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44980" y="3040380"/>
          <a:ext cx="396240" cy="396240"/>
        </a:xfrm>
        <a:prstGeom prst="rect">
          <a:avLst/>
        </a:prstGeom>
      </xdr:spPr>
    </xdr:pic>
    <xdr:clientData/>
  </xdr:twoCellAnchor>
  <xdr:twoCellAnchor editAs="oneCell">
    <xdr:from>
      <xdr:col>1</xdr:col>
      <xdr:colOff>457200</xdr:colOff>
      <xdr:row>7</xdr:row>
      <xdr:rowOff>106680</xdr:rowOff>
    </xdr:from>
    <xdr:to>
      <xdr:col>1</xdr:col>
      <xdr:colOff>853440</xdr:colOff>
      <xdr:row>7</xdr:row>
      <xdr:rowOff>502920</xdr:rowOff>
    </xdr:to>
    <xdr:pic>
      <xdr:nvPicPr>
        <xdr:cNvPr id="5" name="图形 4" descr="复选标记 纯色填充">
          <a:extLst>
            <a:ext uri="{FF2B5EF4-FFF2-40B4-BE49-F238E27FC236}">
              <a16:creationId xmlns:a16="http://schemas.microsoft.com/office/drawing/2014/main" id="{F5A9A674-5002-A7E2-AF41-462BEC72EA1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52600" y="4160520"/>
          <a:ext cx="396240" cy="396240"/>
        </a:xfrm>
        <a:prstGeom prst="rect">
          <a:avLst/>
        </a:prstGeom>
      </xdr:spPr>
    </xdr:pic>
    <xdr:clientData/>
  </xdr:twoCellAnchor>
  <xdr:twoCellAnchor editAs="oneCell">
    <xdr:from>
      <xdr:col>1</xdr:col>
      <xdr:colOff>480060</xdr:colOff>
      <xdr:row>6</xdr:row>
      <xdr:rowOff>106680</xdr:rowOff>
    </xdr:from>
    <xdr:to>
      <xdr:col>1</xdr:col>
      <xdr:colOff>876300</xdr:colOff>
      <xdr:row>6</xdr:row>
      <xdr:rowOff>502920</xdr:rowOff>
    </xdr:to>
    <xdr:pic>
      <xdr:nvPicPr>
        <xdr:cNvPr id="6" name="图形 5" descr="复选标记 纯色填充">
          <a:extLst>
            <a:ext uri="{FF2B5EF4-FFF2-40B4-BE49-F238E27FC236}">
              <a16:creationId xmlns:a16="http://schemas.microsoft.com/office/drawing/2014/main" id="{AAF875F5-9ABF-5967-C58B-90635E15510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75460" y="3611880"/>
          <a:ext cx="396240" cy="396240"/>
        </a:xfrm>
        <a:prstGeom prst="rect">
          <a:avLst/>
        </a:prstGeom>
      </xdr:spPr>
    </xdr:pic>
    <xdr:clientData/>
  </xdr:twoCellAnchor>
  <xdr:twoCellAnchor editAs="oneCell">
    <xdr:from>
      <xdr:col>1</xdr:col>
      <xdr:colOff>525087</xdr:colOff>
      <xdr:row>4</xdr:row>
      <xdr:rowOff>405938</xdr:rowOff>
    </xdr:from>
    <xdr:to>
      <xdr:col>1</xdr:col>
      <xdr:colOff>921327</xdr:colOff>
      <xdr:row>4</xdr:row>
      <xdr:rowOff>802178</xdr:rowOff>
    </xdr:to>
    <xdr:pic>
      <xdr:nvPicPr>
        <xdr:cNvPr id="7" name="图形 6" descr="复选标记 纯色填充">
          <a:extLst>
            <a:ext uri="{FF2B5EF4-FFF2-40B4-BE49-F238E27FC236}">
              <a16:creationId xmlns:a16="http://schemas.microsoft.com/office/drawing/2014/main" id="{7497477C-E750-E373-6B0F-5777164EE4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10542" y="3578629"/>
          <a:ext cx="396240" cy="396240"/>
        </a:xfrm>
        <a:prstGeom prst="rect">
          <a:avLst/>
        </a:prstGeom>
      </xdr:spPr>
    </xdr:pic>
    <xdr:clientData/>
  </xdr:twoCellAnchor>
  <xdr:twoCellAnchor editAs="oneCell">
    <xdr:from>
      <xdr:col>1</xdr:col>
      <xdr:colOff>419100</xdr:colOff>
      <xdr:row>3</xdr:row>
      <xdr:rowOff>121920</xdr:rowOff>
    </xdr:from>
    <xdr:to>
      <xdr:col>1</xdr:col>
      <xdr:colOff>815340</xdr:colOff>
      <xdr:row>3</xdr:row>
      <xdr:rowOff>518160</xdr:rowOff>
    </xdr:to>
    <xdr:pic>
      <xdr:nvPicPr>
        <xdr:cNvPr id="8" name="图形 7" descr="复选标记 纯色填充">
          <a:extLst>
            <a:ext uri="{FF2B5EF4-FFF2-40B4-BE49-F238E27FC236}">
              <a16:creationId xmlns:a16="http://schemas.microsoft.com/office/drawing/2014/main" id="{8733096C-918B-3ADC-1B16-C9BC064BB7E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0" y="2019300"/>
          <a:ext cx="396240" cy="396240"/>
        </a:xfrm>
        <a:prstGeom prst="rect">
          <a:avLst/>
        </a:prstGeom>
      </xdr:spPr>
    </xdr:pic>
    <xdr:clientData/>
  </xdr:twoCellAnchor>
  <xdr:twoCellAnchor editAs="oneCell">
    <xdr:from>
      <xdr:col>2</xdr:col>
      <xdr:colOff>427412</xdr:colOff>
      <xdr:row>3</xdr:row>
      <xdr:rowOff>114300</xdr:rowOff>
    </xdr:from>
    <xdr:to>
      <xdr:col>2</xdr:col>
      <xdr:colOff>823652</xdr:colOff>
      <xdr:row>3</xdr:row>
      <xdr:rowOff>510540</xdr:rowOff>
    </xdr:to>
    <xdr:pic>
      <xdr:nvPicPr>
        <xdr:cNvPr id="9" name="图形 8" descr="复选标记 纯色填充">
          <a:extLst>
            <a:ext uri="{FF2B5EF4-FFF2-40B4-BE49-F238E27FC236}">
              <a16:creationId xmlns:a16="http://schemas.microsoft.com/office/drawing/2014/main" id="{AE2B11A9-E6A3-93B3-68C2-93ED2FA2A4A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3558539" y="2594264"/>
          <a:ext cx="396240" cy="396240"/>
        </a:xfrm>
        <a:prstGeom prst="rect">
          <a:avLst/>
        </a:prstGeom>
      </xdr:spPr>
    </xdr:pic>
    <xdr:clientData/>
  </xdr:twoCellAnchor>
  <xdr:twoCellAnchor editAs="oneCell">
    <xdr:from>
      <xdr:col>5</xdr:col>
      <xdr:colOff>350520</xdr:colOff>
      <xdr:row>3</xdr:row>
      <xdr:rowOff>91440</xdr:rowOff>
    </xdr:from>
    <xdr:to>
      <xdr:col>5</xdr:col>
      <xdr:colOff>746760</xdr:colOff>
      <xdr:row>3</xdr:row>
      <xdr:rowOff>487680</xdr:rowOff>
    </xdr:to>
    <xdr:pic>
      <xdr:nvPicPr>
        <xdr:cNvPr id="11" name="图形 10" descr="复选标记 纯色填充">
          <a:extLst>
            <a:ext uri="{FF2B5EF4-FFF2-40B4-BE49-F238E27FC236}">
              <a16:creationId xmlns:a16="http://schemas.microsoft.com/office/drawing/2014/main" id="{2013F15E-F292-6F22-66E9-3CC3922006B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68440" y="1988820"/>
          <a:ext cx="396240" cy="396240"/>
        </a:xfrm>
        <a:prstGeom prst="rect">
          <a:avLst/>
        </a:prstGeom>
      </xdr:spPr>
    </xdr:pic>
    <xdr:clientData/>
  </xdr:twoCellAnchor>
  <xdr:twoCellAnchor editAs="oneCell">
    <xdr:from>
      <xdr:col>6</xdr:col>
      <xdr:colOff>350520</xdr:colOff>
      <xdr:row>3</xdr:row>
      <xdr:rowOff>76200</xdr:rowOff>
    </xdr:from>
    <xdr:to>
      <xdr:col>6</xdr:col>
      <xdr:colOff>746760</xdr:colOff>
      <xdr:row>3</xdr:row>
      <xdr:rowOff>472440</xdr:rowOff>
    </xdr:to>
    <xdr:pic>
      <xdr:nvPicPr>
        <xdr:cNvPr id="12" name="图形 11" descr="复选标记 纯色填充">
          <a:extLst>
            <a:ext uri="{FF2B5EF4-FFF2-40B4-BE49-F238E27FC236}">
              <a16:creationId xmlns:a16="http://schemas.microsoft.com/office/drawing/2014/main" id="{87894650-DCA3-7746-C065-4BFEEC82D0B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35240" y="1973580"/>
          <a:ext cx="396240" cy="396240"/>
        </a:xfrm>
        <a:prstGeom prst="rect">
          <a:avLst/>
        </a:prstGeom>
      </xdr:spPr>
    </xdr:pic>
    <xdr:clientData/>
  </xdr:twoCellAnchor>
  <xdr:twoCellAnchor editAs="oneCell">
    <xdr:from>
      <xdr:col>7</xdr:col>
      <xdr:colOff>358140</xdr:colOff>
      <xdr:row>3</xdr:row>
      <xdr:rowOff>91440</xdr:rowOff>
    </xdr:from>
    <xdr:to>
      <xdr:col>7</xdr:col>
      <xdr:colOff>754380</xdr:colOff>
      <xdr:row>3</xdr:row>
      <xdr:rowOff>487680</xdr:rowOff>
    </xdr:to>
    <xdr:pic>
      <xdr:nvPicPr>
        <xdr:cNvPr id="13" name="图形 12" descr="复选标记 纯色填充">
          <a:extLst>
            <a:ext uri="{FF2B5EF4-FFF2-40B4-BE49-F238E27FC236}">
              <a16:creationId xmlns:a16="http://schemas.microsoft.com/office/drawing/2014/main" id="{02B3770A-D6D5-3BFE-58A5-F776B080A9E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808720" y="1988820"/>
          <a:ext cx="396240" cy="396240"/>
        </a:xfrm>
        <a:prstGeom prst="rect">
          <a:avLst/>
        </a:prstGeom>
      </xdr:spPr>
    </xdr:pic>
    <xdr:clientData/>
  </xdr:twoCellAnchor>
  <xdr:twoCellAnchor editAs="oneCell">
    <xdr:from>
      <xdr:col>4</xdr:col>
      <xdr:colOff>441960</xdr:colOff>
      <xdr:row>3</xdr:row>
      <xdr:rowOff>99060</xdr:rowOff>
    </xdr:from>
    <xdr:to>
      <xdr:col>4</xdr:col>
      <xdr:colOff>838200</xdr:colOff>
      <xdr:row>3</xdr:row>
      <xdr:rowOff>495300</xdr:rowOff>
    </xdr:to>
    <xdr:pic>
      <xdr:nvPicPr>
        <xdr:cNvPr id="14" name="图形 13" descr="复选标记 纯色填充">
          <a:extLst>
            <a:ext uri="{FF2B5EF4-FFF2-40B4-BE49-F238E27FC236}">
              <a16:creationId xmlns:a16="http://schemas.microsoft.com/office/drawing/2014/main" id="{29C352A3-4535-94C9-037D-E511F32E0701}"/>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02580" y="1996440"/>
          <a:ext cx="396240" cy="396240"/>
        </a:xfrm>
        <a:prstGeom prst="rect">
          <a:avLst/>
        </a:prstGeom>
      </xdr:spPr>
    </xdr:pic>
    <xdr:clientData/>
  </xdr:twoCellAnchor>
  <xdr:twoCellAnchor editAs="oneCell">
    <xdr:from>
      <xdr:col>2</xdr:col>
      <xdr:colOff>404553</xdr:colOff>
      <xdr:row>4</xdr:row>
      <xdr:rowOff>448887</xdr:rowOff>
    </xdr:from>
    <xdr:to>
      <xdr:col>2</xdr:col>
      <xdr:colOff>884613</xdr:colOff>
      <xdr:row>4</xdr:row>
      <xdr:rowOff>928947</xdr:rowOff>
    </xdr:to>
    <xdr:pic>
      <xdr:nvPicPr>
        <xdr:cNvPr id="17" name="图形 16" descr="关闭 纯色填充">
          <a:extLst>
            <a:ext uri="{FF2B5EF4-FFF2-40B4-BE49-F238E27FC236}">
              <a16:creationId xmlns:a16="http://schemas.microsoft.com/office/drawing/2014/main" id="{0AB6BF50-66A2-1953-D092-785F259A9AF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35680" y="3621578"/>
          <a:ext cx="480060" cy="480060"/>
        </a:xfrm>
        <a:prstGeom prst="rect">
          <a:avLst/>
        </a:prstGeom>
      </xdr:spPr>
    </xdr:pic>
    <xdr:clientData/>
  </xdr:twoCellAnchor>
  <xdr:twoCellAnchor editAs="oneCell">
    <xdr:from>
      <xdr:col>2</xdr:col>
      <xdr:colOff>360218</xdr:colOff>
      <xdr:row>2</xdr:row>
      <xdr:rowOff>15240</xdr:rowOff>
    </xdr:from>
    <xdr:to>
      <xdr:col>2</xdr:col>
      <xdr:colOff>847898</xdr:colOff>
      <xdr:row>2</xdr:row>
      <xdr:rowOff>502920</xdr:rowOff>
    </xdr:to>
    <xdr:pic>
      <xdr:nvPicPr>
        <xdr:cNvPr id="19" name="图形 18" descr="关闭 纯色填充">
          <a:extLst>
            <a:ext uri="{FF2B5EF4-FFF2-40B4-BE49-F238E27FC236}">
              <a16:creationId xmlns:a16="http://schemas.microsoft.com/office/drawing/2014/main" id="{D39AD44A-619A-812F-0E2F-585CBEC2BE72}"/>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491345" y="1968731"/>
          <a:ext cx="487680" cy="487680"/>
        </a:xfrm>
        <a:prstGeom prst="rect">
          <a:avLst/>
        </a:prstGeom>
      </xdr:spPr>
    </xdr:pic>
    <xdr:clientData/>
  </xdr:twoCellAnchor>
  <xdr:twoCellAnchor editAs="oneCell">
    <xdr:from>
      <xdr:col>4</xdr:col>
      <xdr:colOff>510540</xdr:colOff>
      <xdr:row>5</xdr:row>
      <xdr:rowOff>111035</xdr:rowOff>
    </xdr:from>
    <xdr:to>
      <xdr:col>4</xdr:col>
      <xdr:colOff>906780</xdr:colOff>
      <xdr:row>5</xdr:row>
      <xdr:rowOff>507275</xdr:rowOff>
    </xdr:to>
    <xdr:pic>
      <xdr:nvPicPr>
        <xdr:cNvPr id="24" name="图形 23" descr="复选标记 纯色填充">
          <a:extLst>
            <a:ext uri="{FF2B5EF4-FFF2-40B4-BE49-F238E27FC236}">
              <a16:creationId xmlns:a16="http://schemas.microsoft.com/office/drawing/2014/main" id="{6651F11B-605F-2DEB-C76F-77B7AAD8782A}"/>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58197" y="4683035"/>
          <a:ext cx="396240" cy="396240"/>
        </a:xfrm>
        <a:prstGeom prst="rect">
          <a:avLst/>
        </a:prstGeom>
      </xdr:spPr>
    </xdr:pic>
    <xdr:clientData/>
  </xdr:twoCellAnchor>
  <xdr:twoCellAnchor editAs="oneCell">
    <xdr:from>
      <xdr:col>4</xdr:col>
      <xdr:colOff>388620</xdr:colOff>
      <xdr:row>6</xdr:row>
      <xdr:rowOff>22860</xdr:rowOff>
    </xdr:from>
    <xdr:to>
      <xdr:col>4</xdr:col>
      <xdr:colOff>914400</xdr:colOff>
      <xdr:row>6</xdr:row>
      <xdr:rowOff>548640</xdr:rowOff>
    </xdr:to>
    <xdr:pic>
      <xdr:nvPicPr>
        <xdr:cNvPr id="25" name="图形 24" descr="关闭 纯色填充">
          <a:extLst>
            <a:ext uri="{FF2B5EF4-FFF2-40B4-BE49-F238E27FC236}">
              <a16:creationId xmlns:a16="http://schemas.microsoft.com/office/drawing/2014/main" id="{B06DFB27-EA05-C158-1776-590E38708234}"/>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5349240" y="3528060"/>
          <a:ext cx="525780" cy="525780"/>
        </a:xfrm>
        <a:prstGeom prst="rect">
          <a:avLst/>
        </a:prstGeom>
      </xdr:spPr>
    </xdr:pic>
    <xdr:clientData/>
  </xdr:twoCellAnchor>
  <xdr:twoCellAnchor editAs="oneCell">
    <xdr:from>
      <xdr:col>2</xdr:col>
      <xdr:colOff>388620</xdr:colOff>
      <xdr:row>6</xdr:row>
      <xdr:rowOff>114300</xdr:rowOff>
    </xdr:from>
    <xdr:to>
      <xdr:col>2</xdr:col>
      <xdr:colOff>784860</xdr:colOff>
      <xdr:row>6</xdr:row>
      <xdr:rowOff>510540</xdr:rowOff>
    </xdr:to>
    <xdr:pic>
      <xdr:nvPicPr>
        <xdr:cNvPr id="26" name="图形 25" descr="复选标记 纯色填充">
          <a:extLst>
            <a:ext uri="{FF2B5EF4-FFF2-40B4-BE49-F238E27FC236}">
              <a16:creationId xmlns:a16="http://schemas.microsoft.com/office/drawing/2014/main" id="{3663BC65-62D8-C403-260A-C3D1A07153F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33700" y="3619500"/>
          <a:ext cx="396240" cy="396240"/>
        </a:xfrm>
        <a:prstGeom prst="rect">
          <a:avLst/>
        </a:prstGeom>
      </xdr:spPr>
    </xdr:pic>
    <xdr:clientData/>
  </xdr:twoCellAnchor>
  <xdr:twoCellAnchor editAs="oneCell">
    <xdr:from>
      <xdr:col>2</xdr:col>
      <xdr:colOff>373380</xdr:colOff>
      <xdr:row>7</xdr:row>
      <xdr:rowOff>129540</xdr:rowOff>
    </xdr:from>
    <xdr:to>
      <xdr:col>2</xdr:col>
      <xdr:colOff>769620</xdr:colOff>
      <xdr:row>7</xdr:row>
      <xdr:rowOff>525780</xdr:rowOff>
    </xdr:to>
    <xdr:pic>
      <xdr:nvPicPr>
        <xdr:cNvPr id="27" name="图形 26" descr="复选标记 纯色填充">
          <a:extLst>
            <a:ext uri="{FF2B5EF4-FFF2-40B4-BE49-F238E27FC236}">
              <a16:creationId xmlns:a16="http://schemas.microsoft.com/office/drawing/2014/main" id="{094B504D-1742-016A-A4C1-4A45E721060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8460" y="4183380"/>
          <a:ext cx="396240" cy="396240"/>
        </a:xfrm>
        <a:prstGeom prst="rect">
          <a:avLst/>
        </a:prstGeom>
      </xdr:spPr>
    </xdr:pic>
    <xdr:clientData/>
  </xdr:twoCellAnchor>
  <xdr:twoCellAnchor editAs="oneCell">
    <xdr:from>
      <xdr:col>4</xdr:col>
      <xdr:colOff>462841</xdr:colOff>
      <xdr:row>4</xdr:row>
      <xdr:rowOff>504305</xdr:rowOff>
    </xdr:from>
    <xdr:to>
      <xdr:col>4</xdr:col>
      <xdr:colOff>859081</xdr:colOff>
      <xdr:row>4</xdr:row>
      <xdr:rowOff>900545</xdr:rowOff>
    </xdr:to>
    <xdr:pic>
      <xdr:nvPicPr>
        <xdr:cNvPr id="28" name="图形 27" descr="复选标记 纯色填充">
          <a:extLst>
            <a:ext uri="{FF2B5EF4-FFF2-40B4-BE49-F238E27FC236}">
              <a16:creationId xmlns:a16="http://schemas.microsoft.com/office/drawing/2014/main" id="{71B9A411-AE52-CC78-B0FB-FADB8130C4B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210498" y="3661162"/>
          <a:ext cx="396240" cy="396240"/>
        </a:xfrm>
        <a:prstGeom prst="rect">
          <a:avLst/>
        </a:prstGeom>
      </xdr:spPr>
    </xdr:pic>
    <xdr:clientData/>
  </xdr:twoCellAnchor>
  <xdr:twoCellAnchor editAs="oneCell">
    <xdr:from>
      <xdr:col>4</xdr:col>
      <xdr:colOff>495300</xdr:colOff>
      <xdr:row>7</xdr:row>
      <xdr:rowOff>129540</xdr:rowOff>
    </xdr:from>
    <xdr:to>
      <xdr:col>4</xdr:col>
      <xdr:colOff>891540</xdr:colOff>
      <xdr:row>7</xdr:row>
      <xdr:rowOff>525780</xdr:rowOff>
    </xdr:to>
    <xdr:pic>
      <xdr:nvPicPr>
        <xdr:cNvPr id="29" name="图形 28" descr="复选标记 纯色填充">
          <a:extLst>
            <a:ext uri="{FF2B5EF4-FFF2-40B4-BE49-F238E27FC236}">
              <a16:creationId xmlns:a16="http://schemas.microsoft.com/office/drawing/2014/main" id="{69ED6C0D-8A8D-14AC-C0E6-2EF3492B1AB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5455920" y="4183380"/>
          <a:ext cx="396240" cy="396240"/>
        </a:xfrm>
        <a:prstGeom prst="rect">
          <a:avLst/>
        </a:prstGeom>
      </xdr:spPr>
    </xdr:pic>
    <xdr:clientData/>
  </xdr:twoCellAnchor>
  <xdr:twoCellAnchor editAs="oneCell">
    <xdr:from>
      <xdr:col>5</xdr:col>
      <xdr:colOff>297180</xdr:colOff>
      <xdr:row>2</xdr:row>
      <xdr:rowOff>7620</xdr:rowOff>
    </xdr:from>
    <xdr:to>
      <xdr:col>5</xdr:col>
      <xdr:colOff>784860</xdr:colOff>
      <xdr:row>2</xdr:row>
      <xdr:rowOff>495300</xdr:rowOff>
    </xdr:to>
    <xdr:pic>
      <xdr:nvPicPr>
        <xdr:cNvPr id="30" name="图形 29" descr="关闭 纯色填充">
          <a:extLst>
            <a:ext uri="{FF2B5EF4-FFF2-40B4-BE49-F238E27FC236}">
              <a16:creationId xmlns:a16="http://schemas.microsoft.com/office/drawing/2014/main" id="{421A3640-D770-1AE9-07F7-B490188E2EC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15100" y="1463040"/>
          <a:ext cx="487680" cy="487680"/>
        </a:xfrm>
        <a:prstGeom prst="rect">
          <a:avLst/>
        </a:prstGeom>
      </xdr:spPr>
    </xdr:pic>
    <xdr:clientData/>
  </xdr:twoCellAnchor>
  <xdr:twoCellAnchor editAs="oneCell">
    <xdr:from>
      <xdr:col>6</xdr:col>
      <xdr:colOff>312420</xdr:colOff>
      <xdr:row>2</xdr:row>
      <xdr:rowOff>7620</xdr:rowOff>
    </xdr:from>
    <xdr:to>
      <xdr:col>6</xdr:col>
      <xdr:colOff>800100</xdr:colOff>
      <xdr:row>2</xdr:row>
      <xdr:rowOff>495300</xdr:rowOff>
    </xdr:to>
    <xdr:pic>
      <xdr:nvPicPr>
        <xdr:cNvPr id="31" name="图形 30" descr="关闭 纯色填充">
          <a:extLst>
            <a:ext uri="{FF2B5EF4-FFF2-40B4-BE49-F238E27FC236}">
              <a16:creationId xmlns:a16="http://schemas.microsoft.com/office/drawing/2014/main" id="{C0F3FFE8-42C5-BD2E-6BD2-0D1E92E6AE8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597140" y="1463040"/>
          <a:ext cx="487680" cy="487680"/>
        </a:xfrm>
        <a:prstGeom prst="rect">
          <a:avLst/>
        </a:prstGeom>
      </xdr:spPr>
    </xdr:pic>
    <xdr:clientData/>
  </xdr:twoCellAnchor>
  <xdr:twoCellAnchor editAs="oneCell">
    <xdr:from>
      <xdr:col>7</xdr:col>
      <xdr:colOff>274320</xdr:colOff>
      <xdr:row>2</xdr:row>
      <xdr:rowOff>0</xdr:rowOff>
    </xdr:from>
    <xdr:to>
      <xdr:col>7</xdr:col>
      <xdr:colOff>762000</xdr:colOff>
      <xdr:row>2</xdr:row>
      <xdr:rowOff>487680</xdr:rowOff>
    </xdr:to>
    <xdr:pic>
      <xdr:nvPicPr>
        <xdr:cNvPr id="32" name="图形 31" descr="关闭 纯色填充">
          <a:extLst>
            <a:ext uri="{FF2B5EF4-FFF2-40B4-BE49-F238E27FC236}">
              <a16:creationId xmlns:a16="http://schemas.microsoft.com/office/drawing/2014/main" id="{55568B5E-64AB-622B-41CF-7D8F86F407AE}"/>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724900" y="1455420"/>
          <a:ext cx="487680" cy="487680"/>
        </a:xfrm>
        <a:prstGeom prst="rect">
          <a:avLst/>
        </a:prstGeom>
      </xdr:spPr>
    </xdr:pic>
    <xdr:clientData/>
  </xdr:twoCellAnchor>
  <xdr:twoCellAnchor editAs="oneCell">
    <xdr:from>
      <xdr:col>5</xdr:col>
      <xdr:colOff>341514</xdr:colOff>
      <xdr:row>4</xdr:row>
      <xdr:rowOff>446116</xdr:rowOff>
    </xdr:from>
    <xdr:to>
      <xdr:col>5</xdr:col>
      <xdr:colOff>829194</xdr:colOff>
      <xdr:row>4</xdr:row>
      <xdr:rowOff>933796</xdr:rowOff>
    </xdr:to>
    <xdr:pic>
      <xdr:nvPicPr>
        <xdr:cNvPr id="33" name="图形 32" descr="关闭 纯色填充">
          <a:extLst>
            <a:ext uri="{FF2B5EF4-FFF2-40B4-BE49-F238E27FC236}">
              <a16:creationId xmlns:a16="http://schemas.microsoft.com/office/drawing/2014/main" id="{09083812-E5E4-7BBD-0065-21456844E325}"/>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448896" y="3618807"/>
          <a:ext cx="487680" cy="487680"/>
        </a:xfrm>
        <a:prstGeom prst="rect">
          <a:avLst/>
        </a:prstGeom>
      </xdr:spPr>
    </xdr:pic>
    <xdr:clientData/>
  </xdr:twoCellAnchor>
  <xdr:twoCellAnchor editAs="oneCell">
    <xdr:from>
      <xdr:col>6</xdr:col>
      <xdr:colOff>383079</xdr:colOff>
      <xdr:row>4</xdr:row>
      <xdr:rowOff>437111</xdr:rowOff>
    </xdr:from>
    <xdr:to>
      <xdr:col>6</xdr:col>
      <xdr:colOff>870759</xdr:colOff>
      <xdr:row>4</xdr:row>
      <xdr:rowOff>924791</xdr:rowOff>
    </xdr:to>
    <xdr:pic>
      <xdr:nvPicPr>
        <xdr:cNvPr id="34" name="图形 33" descr="关闭 纯色填充">
          <a:extLst>
            <a:ext uri="{FF2B5EF4-FFF2-40B4-BE49-F238E27FC236}">
              <a16:creationId xmlns:a16="http://schemas.microsoft.com/office/drawing/2014/main" id="{6176BD2A-0B29-3DA9-048E-F369F8A0C3F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654243" y="3609802"/>
          <a:ext cx="487680" cy="487680"/>
        </a:xfrm>
        <a:prstGeom prst="rect">
          <a:avLst/>
        </a:prstGeom>
      </xdr:spPr>
    </xdr:pic>
    <xdr:clientData/>
  </xdr:twoCellAnchor>
  <xdr:twoCellAnchor editAs="oneCell">
    <xdr:from>
      <xdr:col>7</xdr:col>
      <xdr:colOff>312420</xdr:colOff>
      <xdr:row>4</xdr:row>
      <xdr:rowOff>472440</xdr:rowOff>
    </xdr:from>
    <xdr:to>
      <xdr:col>7</xdr:col>
      <xdr:colOff>800100</xdr:colOff>
      <xdr:row>4</xdr:row>
      <xdr:rowOff>960120</xdr:rowOff>
    </xdr:to>
    <xdr:pic>
      <xdr:nvPicPr>
        <xdr:cNvPr id="36" name="图形 35" descr="关闭 纯色填充">
          <a:extLst>
            <a:ext uri="{FF2B5EF4-FFF2-40B4-BE49-F238E27FC236}">
              <a16:creationId xmlns:a16="http://schemas.microsoft.com/office/drawing/2014/main" id="{386F3639-242C-9703-E8BD-0E8452F7778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9830493" y="3645131"/>
          <a:ext cx="487680" cy="487680"/>
        </a:xfrm>
        <a:prstGeom prst="rect">
          <a:avLst/>
        </a:prstGeom>
      </xdr:spPr>
    </xdr:pic>
    <xdr:clientData/>
  </xdr:twoCellAnchor>
  <xdr:twoCellAnchor editAs="oneCell">
    <xdr:from>
      <xdr:col>5</xdr:col>
      <xdr:colOff>289560</xdr:colOff>
      <xdr:row>5</xdr:row>
      <xdr:rowOff>106680</xdr:rowOff>
    </xdr:from>
    <xdr:to>
      <xdr:col>5</xdr:col>
      <xdr:colOff>777240</xdr:colOff>
      <xdr:row>5</xdr:row>
      <xdr:rowOff>594360</xdr:rowOff>
    </xdr:to>
    <xdr:pic>
      <xdr:nvPicPr>
        <xdr:cNvPr id="10" name="图形 9" descr="关闭 纯色填充">
          <a:extLst>
            <a:ext uri="{FF2B5EF4-FFF2-40B4-BE49-F238E27FC236}">
              <a16:creationId xmlns:a16="http://schemas.microsoft.com/office/drawing/2014/main" id="{E6FA332F-DF01-4172-BEFA-6D57C531C42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507480" y="3040380"/>
          <a:ext cx="487680" cy="487680"/>
        </a:xfrm>
        <a:prstGeom prst="rect">
          <a:avLst/>
        </a:prstGeom>
      </xdr:spPr>
    </xdr:pic>
    <xdr:clientData/>
  </xdr:twoCellAnchor>
  <xdr:twoCellAnchor editAs="oneCell">
    <xdr:from>
      <xdr:col>6</xdr:col>
      <xdr:colOff>320040</xdr:colOff>
      <xdr:row>5</xdr:row>
      <xdr:rowOff>53340</xdr:rowOff>
    </xdr:from>
    <xdr:to>
      <xdr:col>6</xdr:col>
      <xdr:colOff>807720</xdr:colOff>
      <xdr:row>5</xdr:row>
      <xdr:rowOff>541020</xdr:rowOff>
    </xdr:to>
    <xdr:pic>
      <xdr:nvPicPr>
        <xdr:cNvPr id="15" name="图形 14" descr="关闭 纯色填充">
          <a:extLst>
            <a:ext uri="{FF2B5EF4-FFF2-40B4-BE49-F238E27FC236}">
              <a16:creationId xmlns:a16="http://schemas.microsoft.com/office/drawing/2014/main" id="{9D325DF5-3ACE-45C2-BE9F-7AE0A235F57B}"/>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7604760" y="2987040"/>
          <a:ext cx="487680" cy="487680"/>
        </a:xfrm>
        <a:prstGeom prst="rect">
          <a:avLst/>
        </a:prstGeom>
      </xdr:spPr>
    </xdr:pic>
    <xdr:clientData/>
  </xdr:twoCellAnchor>
  <xdr:twoCellAnchor editAs="oneCell">
    <xdr:from>
      <xdr:col>7</xdr:col>
      <xdr:colOff>281940</xdr:colOff>
      <xdr:row>5</xdr:row>
      <xdr:rowOff>76200</xdr:rowOff>
    </xdr:from>
    <xdr:to>
      <xdr:col>7</xdr:col>
      <xdr:colOff>769620</xdr:colOff>
      <xdr:row>5</xdr:row>
      <xdr:rowOff>563880</xdr:rowOff>
    </xdr:to>
    <xdr:pic>
      <xdr:nvPicPr>
        <xdr:cNvPr id="16" name="图形 15" descr="关闭 纯色填充">
          <a:extLst>
            <a:ext uri="{FF2B5EF4-FFF2-40B4-BE49-F238E27FC236}">
              <a16:creationId xmlns:a16="http://schemas.microsoft.com/office/drawing/2014/main" id="{42C3B2C5-012A-4C05-B326-3429B19ACF3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8732520" y="3009900"/>
          <a:ext cx="487680" cy="487680"/>
        </a:xfrm>
        <a:prstGeom prst="rect">
          <a:avLst/>
        </a:prstGeom>
      </xdr:spPr>
    </xdr:pic>
    <xdr:clientData/>
  </xdr:twoCellAnchor>
  <xdr:twoCellAnchor editAs="oneCell">
    <xdr:from>
      <xdr:col>5</xdr:col>
      <xdr:colOff>350520</xdr:colOff>
      <xdr:row>6</xdr:row>
      <xdr:rowOff>137160</xdr:rowOff>
    </xdr:from>
    <xdr:to>
      <xdr:col>5</xdr:col>
      <xdr:colOff>746760</xdr:colOff>
      <xdr:row>6</xdr:row>
      <xdr:rowOff>533400</xdr:rowOff>
    </xdr:to>
    <xdr:pic>
      <xdr:nvPicPr>
        <xdr:cNvPr id="18" name="图形 17" descr="复选标记 纯色填充">
          <a:extLst>
            <a:ext uri="{FF2B5EF4-FFF2-40B4-BE49-F238E27FC236}">
              <a16:creationId xmlns:a16="http://schemas.microsoft.com/office/drawing/2014/main" id="{E647CFDC-F445-499F-9B5E-1303985C33D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68440" y="3642360"/>
          <a:ext cx="396240" cy="396240"/>
        </a:xfrm>
        <a:prstGeom prst="rect">
          <a:avLst/>
        </a:prstGeom>
      </xdr:spPr>
    </xdr:pic>
    <xdr:clientData/>
  </xdr:twoCellAnchor>
  <xdr:twoCellAnchor editAs="oneCell">
    <xdr:from>
      <xdr:col>6</xdr:col>
      <xdr:colOff>365760</xdr:colOff>
      <xdr:row>6</xdr:row>
      <xdr:rowOff>121920</xdr:rowOff>
    </xdr:from>
    <xdr:to>
      <xdr:col>6</xdr:col>
      <xdr:colOff>762000</xdr:colOff>
      <xdr:row>6</xdr:row>
      <xdr:rowOff>518160</xdr:rowOff>
    </xdr:to>
    <xdr:pic>
      <xdr:nvPicPr>
        <xdr:cNvPr id="20" name="图形 19" descr="复选标记 纯色填充">
          <a:extLst>
            <a:ext uri="{FF2B5EF4-FFF2-40B4-BE49-F238E27FC236}">
              <a16:creationId xmlns:a16="http://schemas.microsoft.com/office/drawing/2014/main" id="{B54FF8DA-C928-7C13-532C-94004A2C44F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50480" y="3627120"/>
          <a:ext cx="396240" cy="396240"/>
        </a:xfrm>
        <a:prstGeom prst="rect">
          <a:avLst/>
        </a:prstGeom>
      </xdr:spPr>
    </xdr:pic>
    <xdr:clientData/>
  </xdr:twoCellAnchor>
  <xdr:twoCellAnchor editAs="oneCell">
    <xdr:from>
      <xdr:col>7</xdr:col>
      <xdr:colOff>358140</xdr:colOff>
      <xdr:row>6</xdr:row>
      <xdr:rowOff>99060</xdr:rowOff>
    </xdr:from>
    <xdr:to>
      <xdr:col>7</xdr:col>
      <xdr:colOff>754380</xdr:colOff>
      <xdr:row>6</xdr:row>
      <xdr:rowOff>495300</xdr:rowOff>
    </xdr:to>
    <xdr:pic>
      <xdr:nvPicPr>
        <xdr:cNvPr id="21" name="图形 20" descr="复选标记 纯色填充">
          <a:extLst>
            <a:ext uri="{FF2B5EF4-FFF2-40B4-BE49-F238E27FC236}">
              <a16:creationId xmlns:a16="http://schemas.microsoft.com/office/drawing/2014/main" id="{15637725-3651-2CFA-B7D0-2A0EFDF90D4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808720" y="3604260"/>
          <a:ext cx="396240" cy="396240"/>
        </a:xfrm>
        <a:prstGeom prst="rect">
          <a:avLst/>
        </a:prstGeom>
      </xdr:spPr>
    </xdr:pic>
    <xdr:clientData/>
  </xdr:twoCellAnchor>
  <xdr:twoCellAnchor editAs="oneCell">
    <xdr:from>
      <xdr:col>2</xdr:col>
      <xdr:colOff>335280</xdr:colOff>
      <xdr:row>5</xdr:row>
      <xdr:rowOff>53340</xdr:rowOff>
    </xdr:from>
    <xdr:to>
      <xdr:col>2</xdr:col>
      <xdr:colOff>822960</xdr:colOff>
      <xdr:row>5</xdr:row>
      <xdr:rowOff>541020</xdr:rowOff>
    </xdr:to>
    <xdr:pic>
      <xdr:nvPicPr>
        <xdr:cNvPr id="23" name="图形 22" descr="关闭 纯色填充">
          <a:extLst>
            <a:ext uri="{FF2B5EF4-FFF2-40B4-BE49-F238E27FC236}">
              <a16:creationId xmlns:a16="http://schemas.microsoft.com/office/drawing/2014/main" id="{529F3A06-7AD6-B6DD-1B3A-739FE42C1A27}"/>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80360" y="2987040"/>
          <a:ext cx="487680" cy="487680"/>
        </a:xfrm>
        <a:prstGeom prst="rect">
          <a:avLst/>
        </a:prstGeom>
      </xdr:spPr>
    </xdr:pic>
    <xdr:clientData/>
  </xdr:twoCellAnchor>
  <xdr:twoCellAnchor editAs="oneCell">
    <xdr:from>
      <xdr:col>5</xdr:col>
      <xdr:colOff>358140</xdr:colOff>
      <xdr:row>7</xdr:row>
      <xdr:rowOff>99060</xdr:rowOff>
    </xdr:from>
    <xdr:to>
      <xdr:col>5</xdr:col>
      <xdr:colOff>754380</xdr:colOff>
      <xdr:row>7</xdr:row>
      <xdr:rowOff>495300</xdr:rowOff>
    </xdr:to>
    <xdr:pic>
      <xdr:nvPicPr>
        <xdr:cNvPr id="22" name="图形 21" descr="复选标记 纯色填充">
          <a:extLst>
            <a:ext uri="{FF2B5EF4-FFF2-40B4-BE49-F238E27FC236}">
              <a16:creationId xmlns:a16="http://schemas.microsoft.com/office/drawing/2014/main" id="{93CDE85A-1991-7C25-72E9-D3C86282550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76060" y="4152900"/>
          <a:ext cx="396240" cy="396240"/>
        </a:xfrm>
        <a:prstGeom prst="rect">
          <a:avLst/>
        </a:prstGeom>
      </xdr:spPr>
    </xdr:pic>
    <xdr:clientData/>
  </xdr:twoCellAnchor>
  <xdr:twoCellAnchor editAs="oneCell">
    <xdr:from>
      <xdr:col>6</xdr:col>
      <xdr:colOff>373380</xdr:colOff>
      <xdr:row>7</xdr:row>
      <xdr:rowOff>83820</xdr:rowOff>
    </xdr:from>
    <xdr:to>
      <xdr:col>6</xdr:col>
      <xdr:colOff>769620</xdr:colOff>
      <xdr:row>7</xdr:row>
      <xdr:rowOff>480060</xdr:rowOff>
    </xdr:to>
    <xdr:pic>
      <xdr:nvPicPr>
        <xdr:cNvPr id="35" name="图形 34" descr="复选标记 纯色填充">
          <a:extLst>
            <a:ext uri="{FF2B5EF4-FFF2-40B4-BE49-F238E27FC236}">
              <a16:creationId xmlns:a16="http://schemas.microsoft.com/office/drawing/2014/main" id="{C53A8A22-9AD6-396B-99F5-A62CCF3B571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7658100" y="4137660"/>
          <a:ext cx="396240" cy="396240"/>
        </a:xfrm>
        <a:prstGeom prst="rect">
          <a:avLst/>
        </a:prstGeom>
      </xdr:spPr>
    </xdr:pic>
    <xdr:clientData/>
  </xdr:twoCellAnchor>
  <xdr:twoCellAnchor editAs="oneCell">
    <xdr:from>
      <xdr:col>7</xdr:col>
      <xdr:colOff>373380</xdr:colOff>
      <xdr:row>7</xdr:row>
      <xdr:rowOff>76200</xdr:rowOff>
    </xdr:from>
    <xdr:to>
      <xdr:col>7</xdr:col>
      <xdr:colOff>769620</xdr:colOff>
      <xdr:row>7</xdr:row>
      <xdr:rowOff>472440</xdr:rowOff>
    </xdr:to>
    <xdr:pic>
      <xdr:nvPicPr>
        <xdr:cNvPr id="37" name="图形 36" descr="复选标记 纯色填充">
          <a:extLst>
            <a:ext uri="{FF2B5EF4-FFF2-40B4-BE49-F238E27FC236}">
              <a16:creationId xmlns:a16="http://schemas.microsoft.com/office/drawing/2014/main" id="{67274032-3D5A-2929-ED67-C596BD7FD7E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8823960" y="4130040"/>
          <a:ext cx="396240" cy="39624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xdr:col>
      <xdr:colOff>364440</xdr:colOff>
      <xdr:row>36</xdr:row>
      <xdr:rowOff>33152</xdr:rowOff>
    </xdr:from>
    <xdr:to>
      <xdr:col>5</xdr:col>
      <xdr:colOff>1093304</xdr:colOff>
      <xdr:row>39</xdr:row>
      <xdr:rowOff>86139</xdr:rowOff>
    </xdr:to>
    <xdr:sp macro="" textlink="">
      <xdr:nvSpPr>
        <xdr:cNvPr id="13" name="矩形: 圆角 12">
          <a:extLst>
            <a:ext uri="{FF2B5EF4-FFF2-40B4-BE49-F238E27FC236}">
              <a16:creationId xmlns:a16="http://schemas.microsoft.com/office/drawing/2014/main" id="{E990BA2B-A373-64EC-FD93-C520B5CCD588}"/>
            </a:ext>
          </a:extLst>
        </xdr:cNvPr>
        <xdr:cNvSpPr/>
      </xdr:nvSpPr>
      <xdr:spPr bwMode="auto">
        <a:xfrm>
          <a:off x="3617849" y="12211900"/>
          <a:ext cx="2961855" cy="510187"/>
        </a:xfrm>
        <a:prstGeom prst="roundRect">
          <a:avLst/>
        </a:prstGeom>
        <a:solidFill>
          <a:schemeClr val="accent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eaLnBrk="0" fontAlgn="base" hangingPunct="0"/>
          <a:r>
            <a:rPr lang="zh-CN" altLang="en-US" sz="1000" b="1">
              <a:effectLst/>
            </a:rPr>
            <a:t>优化模具或产品</a:t>
          </a:r>
          <a:endParaRPr lang="en-US" altLang="zh-CN" sz="1000" b="1">
            <a:effectLst/>
          </a:endParaRPr>
        </a:p>
        <a:p>
          <a:pPr algn="ctr" eaLnBrk="0" fontAlgn="base" hangingPunct="0"/>
          <a:r>
            <a:rPr lang="en-US" sz="1000" b="1" i="0" kern="1200">
              <a:solidFill>
                <a:schemeClr val="tx1"/>
              </a:solidFill>
              <a:effectLst/>
              <a:latin typeface="+mn-lt"/>
              <a:ea typeface="+mn-ea"/>
              <a:cs typeface="+mn-cs"/>
            </a:rPr>
            <a:t>Optimize the mold or product</a:t>
          </a:r>
          <a:endParaRPr lang="en-US" sz="1000" b="1">
            <a:effectLst/>
          </a:endParaRPr>
        </a:p>
      </xdr:txBody>
    </xdr:sp>
    <xdr:clientData/>
  </xdr:twoCellAnchor>
  <xdr:twoCellAnchor>
    <xdr:from>
      <xdr:col>0</xdr:col>
      <xdr:colOff>106020</xdr:colOff>
      <xdr:row>42</xdr:row>
      <xdr:rowOff>198805</xdr:rowOff>
    </xdr:from>
    <xdr:to>
      <xdr:col>11</xdr:col>
      <xdr:colOff>1060178</xdr:colOff>
      <xdr:row>42</xdr:row>
      <xdr:rowOff>1621972</xdr:rowOff>
    </xdr:to>
    <xdr:grpSp>
      <xdr:nvGrpSpPr>
        <xdr:cNvPr id="55" name="组合 54">
          <a:extLst>
            <a:ext uri="{FF2B5EF4-FFF2-40B4-BE49-F238E27FC236}">
              <a16:creationId xmlns:a16="http://schemas.microsoft.com/office/drawing/2014/main" id="{6E287835-218B-84FD-5879-F526EBFA0553}"/>
            </a:ext>
          </a:extLst>
        </xdr:cNvPr>
        <xdr:cNvGrpSpPr/>
      </xdr:nvGrpSpPr>
      <xdr:grpSpPr>
        <a:xfrm>
          <a:off x="106020" y="14685770"/>
          <a:ext cx="11227711" cy="1423167"/>
          <a:chOff x="45194" y="8959221"/>
          <a:chExt cx="8062618" cy="864292"/>
        </a:xfrm>
      </xdr:grpSpPr>
      <xdr:sp macro="" textlink="">
        <xdr:nvSpPr>
          <xdr:cNvPr id="51" name="矩形: 圆角 50">
            <a:extLst>
              <a:ext uri="{FF2B5EF4-FFF2-40B4-BE49-F238E27FC236}">
                <a16:creationId xmlns:a16="http://schemas.microsoft.com/office/drawing/2014/main" id="{53C5CE0A-2A3E-5B38-1709-04F60DB093C0}"/>
              </a:ext>
            </a:extLst>
          </xdr:cNvPr>
          <xdr:cNvSpPr/>
        </xdr:nvSpPr>
        <xdr:spPr bwMode="auto">
          <a:xfrm>
            <a:off x="45194" y="8975410"/>
            <a:ext cx="544578" cy="837794"/>
          </a:xfrm>
          <a:prstGeom prst="roundRect">
            <a:avLst/>
          </a:prstGeom>
          <a:solidFill>
            <a:schemeClr val="accent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00" b="1">
                <a:effectLst/>
              </a:rPr>
              <a:t>开始</a:t>
            </a:r>
            <a:endParaRPr lang="en-US" altLang="zh-CN" sz="1000" b="1">
              <a:effectLst/>
            </a:endParaRPr>
          </a:p>
          <a:p>
            <a:pPr algn="ctr"/>
            <a:r>
              <a:rPr lang="en-US" altLang="zh-CN" sz="900" b="1">
                <a:effectLst/>
              </a:rPr>
              <a:t>Start</a:t>
            </a:r>
            <a:endParaRPr lang="en-US" sz="1100" b="1">
              <a:effectLst/>
            </a:endParaRPr>
          </a:p>
        </xdr:txBody>
      </xdr:sp>
      <xdr:sp macro="" textlink="">
        <xdr:nvSpPr>
          <xdr:cNvPr id="53" name="矩形: 圆角 52">
            <a:extLst>
              <a:ext uri="{FF2B5EF4-FFF2-40B4-BE49-F238E27FC236}">
                <a16:creationId xmlns:a16="http://schemas.microsoft.com/office/drawing/2014/main" id="{0D7C3AC1-F442-3CE3-7828-B28972FAA0DB}"/>
              </a:ext>
            </a:extLst>
          </xdr:cNvPr>
          <xdr:cNvSpPr/>
        </xdr:nvSpPr>
        <xdr:spPr bwMode="auto">
          <a:xfrm>
            <a:off x="1748308" y="8959221"/>
            <a:ext cx="566019" cy="864292"/>
          </a:xfrm>
          <a:prstGeom prst="roundRect">
            <a:avLst/>
          </a:prstGeom>
          <a:solidFill>
            <a:schemeClr val="accent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00" b="1">
                <a:effectLst/>
              </a:rPr>
              <a:t>粘度测试</a:t>
            </a:r>
            <a:endParaRPr lang="en-US" altLang="zh-CN" sz="1000" b="1">
              <a:effectLst/>
            </a:endParaRPr>
          </a:p>
          <a:p>
            <a:pPr algn="ctr"/>
            <a:r>
              <a:rPr lang="en-US" sz="1000" b="1">
                <a:effectLst/>
              </a:rPr>
              <a:t>viscosity test</a:t>
            </a:r>
          </a:p>
        </xdr:txBody>
      </xdr:sp>
      <xdr:sp macro="" textlink="">
        <xdr:nvSpPr>
          <xdr:cNvPr id="57" name="矩形: 圆角 56">
            <a:extLst>
              <a:ext uri="{FF2B5EF4-FFF2-40B4-BE49-F238E27FC236}">
                <a16:creationId xmlns:a16="http://schemas.microsoft.com/office/drawing/2014/main" id="{6CE08517-8DE6-AA84-A2B8-89690145E736}"/>
              </a:ext>
            </a:extLst>
          </xdr:cNvPr>
          <xdr:cNvSpPr/>
        </xdr:nvSpPr>
        <xdr:spPr bwMode="auto">
          <a:xfrm>
            <a:off x="4808338" y="8971323"/>
            <a:ext cx="597683" cy="839948"/>
          </a:xfrm>
          <a:prstGeom prst="roundRect">
            <a:avLst/>
          </a:prstGeom>
          <a:solidFill>
            <a:schemeClr val="accent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CN" altLang="en-US" sz="1000" b="1" kern="1200">
                <a:solidFill>
                  <a:schemeClr val="tx1"/>
                </a:solidFill>
                <a:effectLst/>
                <a:latin typeface="+mj-lt"/>
                <a:ea typeface="+mn-ea"/>
                <a:cs typeface="+mn-cs"/>
              </a:rPr>
              <a:t>压力工艺窗口</a:t>
            </a:r>
            <a:endParaRPr lang="en-US" altLang="zh-CN" sz="1000" b="1" kern="1200">
              <a:solidFill>
                <a:schemeClr val="tx1"/>
              </a:solidFill>
              <a:effectLst/>
              <a:latin typeface="+mj-lt"/>
              <a:ea typeface="+mn-ea"/>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000" b="1" i="0" kern="1200">
                <a:solidFill>
                  <a:schemeClr val="tx1"/>
                </a:solidFill>
                <a:effectLst/>
                <a:latin typeface="+mn-lt"/>
                <a:ea typeface="+mn-ea"/>
                <a:cs typeface="+mn-cs"/>
              </a:rPr>
              <a:t>Pressure process window</a:t>
            </a:r>
            <a:endParaRPr lang="en-US" sz="1000" b="1">
              <a:effectLst/>
              <a:latin typeface="+mj-lt"/>
            </a:endParaRPr>
          </a:p>
        </xdr:txBody>
      </xdr:sp>
      <xdr:sp macro="" textlink="">
        <xdr:nvSpPr>
          <xdr:cNvPr id="58" name="矩形: 圆角 57">
            <a:extLst>
              <a:ext uri="{FF2B5EF4-FFF2-40B4-BE49-F238E27FC236}">
                <a16:creationId xmlns:a16="http://schemas.microsoft.com/office/drawing/2014/main" id="{F8D346C8-F68C-763D-3F3F-D39ADE2C1B2C}"/>
              </a:ext>
            </a:extLst>
          </xdr:cNvPr>
          <xdr:cNvSpPr/>
        </xdr:nvSpPr>
        <xdr:spPr bwMode="auto">
          <a:xfrm>
            <a:off x="5690923" y="8965970"/>
            <a:ext cx="609449" cy="850580"/>
          </a:xfrm>
          <a:prstGeom prst="roundRect">
            <a:avLst/>
          </a:prstGeom>
          <a:solidFill>
            <a:schemeClr val="accent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lang="zh-CN" altLang="en-US" sz="1000" b="1" kern="1200">
                <a:solidFill>
                  <a:schemeClr val="tx1"/>
                </a:solidFill>
                <a:effectLst/>
                <a:latin typeface="+mj-lt"/>
                <a:ea typeface="+mn-ea"/>
                <a:cs typeface="+mn-cs"/>
              </a:rPr>
              <a:t>浇口冻结</a:t>
            </a:r>
            <a:endParaRPr lang="en-US" altLang="zh-CN" sz="1000" b="1" kern="1200">
              <a:solidFill>
                <a:schemeClr val="tx1"/>
              </a:solidFill>
              <a:effectLst/>
              <a:latin typeface="+mj-lt"/>
              <a:ea typeface="+mn-ea"/>
              <a:cs typeface="+mn-cs"/>
            </a:endParaRPr>
          </a:p>
          <a:p>
            <a:pPr marL="0" marR="0" lvl="0" indent="0" algn="ctr" defTabSz="914400" rtl="0" eaLnBrk="1" fontAlgn="auto" latinLnBrk="0" hangingPunct="1">
              <a:lnSpc>
                <a:spcPct val="100000"/>
              </a:lnSpc>
              <a:spcBef>
                <a:spcPts val="0"/>
              </a:spcBef>
              <a:spcAft>
                <a:spcPts val="0"/>
              </a:spcAft>
              <a:buClrTx/>
              <a:buSzTx/>
              <a:buFontTx/>
              <a:buNone/>
              <a:tabLst/>
              <a:defRPr/>
            </a:pPr>
            <a:r>
              <a:rPr lang="en-US" sz="1000" b="1" kern="1200">
                <a:solidFill>
                  <a:schemeClr val="tx1"/>
                </a:solidFill>
                <a:effectLst/>
                <a:latin typeface="+mj-lt"/>
                <a:ea typeface="+mn-ea"/>
                <a:cs typeface="+mn-cs"/>
              </a:rPr>
              <a:t>gate freeze</a:t>
            </a:r>
            <a:endParaRPr lang="en-US" sz="1000">
              <a:effectLst/>
              <a:latin typeface="+mj-lt"/>
            </a:endParaRPr>
          </a:p>
        </xdr:txBody>
      </xdr:sp>
      <xdr:sp macro="" textlink="">
        <xdr:nvSpPr>
          <xdr:cNvPr id="62" name="矩形: 圆角 61">
            <a:extLst>
              <a:ext uri="{FF2B5EF4-FFF2-40B4-BE49-F238E27FC236}">
                <a16:creationId xmlns:a16="http://schemas.microsoft.com/office/drawing/2014/main" id="{6AD13CB7-5B73-2106-9510-E3AF4C16DA9E}"/>
              </a:ext>
            </a:extLst>
          </xdr:cNvPr>
          <xdr:cNvSpPr/>
        </xdr:nvSpPr>
        <xdr:spPr bwMode="auto">
          <a:xfrm>
            <a:off x="6592995" y="8971321"/>
            <a:ext cx="620602" cy="847472"/>
          </a:xfrm>
          <a:prstGeom prst="roundRect">
            <a:avLst/>
          </a:prstGeom>
          <a:solidFill>
            <a:schemeClr val="accent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00" b="1">
                <a:effectLst/>
              </a:rPr>
              <a:t>锁模力优化</a:t>
            </a:r>
            <a:endParaRPr lang="en-US" altLang="zh-CN" sz="1000" b="1">
              <a:effectLst/>
            </a:endParaRPr>
          </a:p>
          <a:p>
            <a:pPr algn="ctr"/>
            <a:r>
              <a:rPr lang="en-US" sz="1000" b="1" i="0" kern="1200">
                <a:solidFill>
                  <a:schemeClr val="tx1"/>
                </a:solidFill>
                <a:effectLst/>
                <a:latin typeface="+mn-lt"/>
                <a:ea typeface="+mn-ea"/>
                <a:cs typeface="+mn-cs"/>
              </a:rPr>
              <a:t>Optimize the clamping force</a:t>
            </a:r>
            <a:endParaRPr lang="en-US" sz="1000" b="1">
              <a:effectLst/>
            </a:endParaRPr>
          </a:p>
        </xdr:txBody>
      </xdr:sp>
      <xdr:sp macro="" textlink="">
        <xdr:nvSpPr>
          <xdr:cNvPr id="7" name="矩形: 圆角 52">
            <a:extLst>
              <a:ext uri="{FF2B5EF4-FFF2-40B4-BE49-F238E27FC236}">
                <a16:creationId xmlns:a16="http://schemas.microsoft.com/office/drawing/2014/main" id="{57BF57FC-80BD-43BD-8DF7-6190CEC2FA9D}"/>
              </a:ext>
            </a:extLst>
          </xdr:cNvPr>
          <xdr:cNvSpPr/>
        </xdr:nvSpPr>
        <xdr:spPr bwMode="auto">
          <a:xfrm>
            <a:off x="874177" y="8963241"/>
            <a:ext cx="586005" cy="859157"/>
          </a:xfrm>
          <a:prstGeom prst="roundRect">
            <a:avLst/>
          </a:prstGeom>
          <a:solidFill>
            <a:schemeClr val="accent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00" b="1">
                <a:effectLst/>
              </a:rPr>
              <a:t>模温设置</a:t>
            </a:r>
            <a:endParaRPr lang="en-US" altLang="zh-CN" sz="1000" b="1">
              <a:effectLst/>
            </a:endParaRPr>
          </a:p>
          <a:p>
            <a:pPr algn="ctr"/>
            <a:r>
              <a:rPr lang="en-US" altLang="zh-CN" sz="1000" b="1">
                <a:effectLst/>
              </a:rPr>
              <a:t>mold</a:t>
            </a:r>
            <a:r>
              <a:rPr lang="en-US" altLang="zh-CN" sz="1000" b="1" baseline="0">
                <a:effectLst/>
              </a:rPr>
              <a:t> teperature set</a:t>
            </a:r>
            <a:endParaRPr lang="en-US" sz="1000" b="1">
              <a:effectLst/>
            </a:endParaRPr>
          </a:p>
        </xdr:txBody>
      </xdr:sp>
      <xdr:sp macro="" textlink="">
        <xdr:nvSpPr>
          <xdr:cNvPr id="9" name="矩形: 圆角 61">
            <a:extLst>
              <a:ext uri="{FF2B5EF4-FFF2-40B4-BE49-F238E27FC236}">
                <a16:creationId xmlns:a16="http://schemas.microsoft.com/office/drawing/2014/main" id="{45C40B76-7BC6-4993-8743-4DE89BD2EA09}"/>
              </a:ext>
            </a:extLst>
          </xdr:cNvPr>
          <xdr:cNvSpPr/>
        </xdr:nvSpPr>
        <xdr:spPr bwMode="auto">
          <a:xfrm>
            <a:off x="7490530" y="8983434"/>
            <a:ext cx="617282" cy="827843"/>
          </a:xfrm>
          <a:prstGeom prst="roundRect">
            <a:avLst/>
          </a:prstGeom>
          <a:solidFill>
            <a:schemeClr val="accent1"/>
          </a:solidFill>
          <a:ln w="9525" cap="flat" cmpd="sng" algn="ctr">
            <a:solidFill>
              <a:schemeClr val="tx1"/>
            </a:solidFill>
            <a:prstDash val="solid"/>
            <a:round/>
            <a:headEnd type="none" w="med" len="med"/>
            <a:tailEnd type="none" w="med" len="med"/>
          </a:ln>
          <a:effectLst/>
        </xdr:spPr>
        <xdr:txBody>
          <a:bodyPr vert="horz" wrap="square" lIns="91440" tIns="45720" rIns="91440" bIns="45720" numCol="1" rtlCol="0"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zh-CN" altLang="en-US" sz="1000" b="1">
                <a:effectLst/>
              </a:rPr>
              <a:t>确定工艺窗口</a:t>
            </a:r>
            <a:endParaRPr lang="en-US" altLang="zh-CN" sz="1000" b="1">
              <a:effectLst/>
            </a:endParaRPr>
          </a:p>
          <a:p>
            <a:pPr algn="ctr"/>
            <a:r>
              <a:rPr lang="en-US" sz="1000" b="1">
                <a:effectLst/>
              </a:rPr>
              <a:t>Confirmed process window</a:t>
            </a:r>
          </a:p>
        </xdr:txBody>
      </xdr:sp>
    </xdr:grpSp>
    <xdr:clientData/>
  </xdr:twoCellAnchor>
  <xdr:twoCellAnchor>
    <xdr:from>
      <xdr:col>0</xdr:col>
      <xdr:colOff>501246</xdr:colOff>
      <xdr:row>37</xdr:row>
      <xdr:rowOff>108952</xdr:rowOff>
    </xdr:from>
    <xdr:to>
      <xdr:col>3</xdr:col>
      <xdr:colOff>364440</xdr:colOff>
      <xdr:row>42</xdr:row>
      <xdr:rowOff>225462</xdr:rowOff>
    </xdr:to>
    <xdr:cxnSp macro="">
      <xdr:nvCxnSpPr>
        <xdr:cNvPr id="175" name="连接符: 肘形 174">
          <a:extLst>
            <a:ext uri="{FF2B5EF4-FFF2-40B4-BE49-F238E27FC236}">
              <a16:creationId xmlns:a16="http://schemas.microsoft.com/office/drawing/2014/main" id="{96F011DC-0745-497A-2B94-04317DB1E7CF}"/>
            </a:ext>
          </a:extLst>
        </xdr:cNvPr>
        <xdr:cNvCxnSpPr>
          <a:stCxn id="13" idx="1"/>
          <a:endCxn id="51" idx="0"/>
        </xdr:cNvCxnSpPr>
      </xdr:nvCxnSpPr>
      <xdr:spPr>
        <a:xfrm rot="10800000" flipV="1">
          <a:off x="501246" y="13726340"/>
          <a:ext cx="3260818" cy="878510"/>
        </a:xfrm>
        <a:prstGeom prst="bentConnector2">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1024197</xdr:colOff>
      <xdr:row>39</xdr:row>
      <xdr:rowOff>86139</xdr:rowOff>
    </xdr:from>
    <xdr:to>
      <xdr:col>4</xdr:col>
      <xdr:colOff>771943</xdr:colOff>
      <xdr:row>42</xdr:row>
      <xdr:rowOff>125884</xdr:rowOff>
    </xdr:to>
    <xdr:cxnSp macro="">
      <xdr:nvCxnSpPr>
        <xdr:cNvPr id="189" name="连接符: 肘形 188">
          <a:extLst>
            <a:ext uri="{FF2B5EF4-FFF2-40B4-BE49-F238E27FC236}">
              <a16:creationId xmlns:a16="http://schemas.microsoft.com/office/drawing/2014/main" id="{98B14742-F1A0-B20B-6BAC-799396B4CA7E}"/>
            </a:ext>
          </a:extLst>
        </xdr:cNvPr>
        <xdr:cNvCxnSpPr>
          <a:stCxn id="47" idx="0"/>
          <a:endCxn id="13" idx="2"/>
        </xdr:cNvCxnSpPr>
      </xdr:nvCxnSpPr>
      <xdr:spPr>
        <a:xfrm rot="5400000" flipH="1" flipV="1">
          <a:off x="4439719" y="12606356"/>
          <a:ext cx="496945" cy="821172"/>
        </a:xfrm>
        <a:prstGeom prst="bentConnector3">
          <a:avLst>
            <a:gd name="adj1" fmla="val 50000"/>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6</xdr:col>
      <xdr:colOff>276638</xdr:colOff>
      <xdr:row>42</xdr:row>
      <xdr:rowOff>238870</xdr:rowOff>
    </xdr:from>
    <xdr:ext cx="184731" cy="264560"/>
    <xdr:sp macro="" textlink="">
      <xdr:nvSpPr>
        <xdr:cNvPr id="193" name="文本框 192">
          <a:extLst>
            <a:ext uri="{FF2B5EF4-FFF2-40B4-BE49-F238E27FC236}">
              <a16:creationId xmlns:a16="http://schemas.microsoft.com/office/drawing/2014/main" id="{F204F3A2-5B43-2E1F-6FA7-F65EA63160ED}"/>
            </a:ext>
          </a:extLst>
        </xdr:cNvPr>
        <xdr:cNvSpPr txBox="1"/>
      </xdr:nvSpPr>
      <xdr:spPr>
        <a:xfrm>
          <a:off x="5491368" y="1419340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4</xdr:col>
      <xdr:colOff>196001</xdr:colOff>
      <xdr:row>41</xdr:row>
      <xdr:rowOff>65114</xdr:rowOff>
    </xdr:from>
    <xdr:ext cx="365760" cy="198120"/>
    <xdr:sp macro="" textlink="">
      <xdr:nvSpPr>
        <xdr:cNvPr id="194" name="文本框 193">
          <a:extLst>
            <a:ext uri="{FF2B5EF4-FFF2-40B4-BE49-F238E27FC236}">
              <a16:creationId xmlns:a16="http://schemas.microsoft.com/office/drawing/2014/main" id="{8909F87E-1C00-4BB2-BC95-69FE08BB9859}"/>
            </a:ext>
          </a:extLst>
        </xdr:cNvPr>
        <xdr:cNvSpPr txBox="1"/>
      </xdr:nvSpPr>
      <xdr:spPr>
        <a:xfrm>
          <a:off x="4522836" y="13005862"/>
          <a:ext cx="365760" cy="198120"/>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NG</a:t>
          </a:r>
        </a:p>
      </xdr:txBody>
    </xdr:sp>
    <xdr:clientData/>
  </xdr:oneCellAnchor>
  <xdr:twoCellAnchor>
    <xdr:from>
      <xdr:col>4</xdr:col>
      <xdr:colOff>773697</xdr:colOff>
      <xdr:row>39</xdr:row>
      <xdr:rowOff>86139</xdr:rowOff>
    </xdr:from>
    <xdr:to>
      <xdr:col>5</xdr:col>
      <xdr:colOff>339524</xdr:colOff>
      <xdr:row>42</xdr:row>
      <xdr:rowOff>143446</xdr:rowOff>
    </xdr:to>
    <xdr:cxnSp macro="">
      <xdr:nvCxnSpPr>
        <xdr:cNvPr id="199" name="连接符: 肘形 198">
          <a:extLst>
            <a:ext uri="{FF2B5EF4-FFF2-40B4-BE49-F238E27FC236}">
              <a16:creationId xmlns:a16="http://schemas.microsoft.com/office/drawing/2014/main" id="{3248C0DF-DC77-C65F-A989-549D25310943}"/>
            </a:ext>
          </a:extLst>
        </xdr:cNvPr>
        <xdr:cNvCxnSpPr>
          <a:stCxn id="144" idx="0"/>
          <a:endCxn id="13" idx="2"/>
        </xdr:cNvCxnSpPr>
      </xdr:nvCxnSpPr>
      <xdr:spPr>
        <a:xfrm rot="16200000" flipV="1">
          <a:off x="5422686" y="13877550"/>
          <a:ext cx="514507" cy="776062"/>
        </a:xfrm>
        <a:prstGeom prst="bentConnector3">
          <a:avLst>
            <a:gd name="adj1" fmla="val 50000"/>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0</xdr:col>
      <xdr:colOff>896472</xdr:colOff>
      <xdr:row>42</xdr:row>
      <xdr:rowOff>912780</xdr:rowOff>
    </xdr:from>
    <xdr:to>
      <xdr:col>1</xdr:col>
      <xdr:colOff>90084</xdr:colOff>
      <xdr:row>42</xdr:row>
      <xdr:rowOff>915230</xdr:rowOff>
    </xdr:to>
    <xdr:cxnSp macro="">
      <xdr:nvCxnSpPr>
        <xdr:cNvPr id="207" name="直接箭头连接符 206">
          <a:extLst>
            <a:ext uri="{FF2B5EF4-FFF2-40B4-BE49-F238E27FC236}">
              <a16:creationId xmlns:a16="http://schemas.microsoft.com/office/drawing/2014/main" id="{01B93AB4-81B0-CBAC-5984-007AB48E12D0}"/>
            </a:ext>
          </a:extLst>
        </xdr:cNvPr>
        <xdr:cNvCxnSpPr>
          <a:stCxn id="51" idx="3"/>
          <a:endCxn id="7" idx="1"/>
        </xdr:cNvCxnSpPr>
      </xdr:nvCxnSpPr>
      <xdr:spPr>
        <a:xfrm flipV="1">
          <a:off x="896472" y="15292168"/>
          <a:ext cx="412812" cy="2450"/>
        </a:xfrm>
        <a:prstGeom prst="straightConnector1">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934274</xdr:colOff>
      <xdr:row>42</xdr:row>
      <xdr:rowOff>910269</xdr:rowOff>
    </xdr:from>
    <xdr:to>
      <xdr:col>2</xdr:col>
      <xdr:colOff>378219</xdr:colOff>
      <xdr:row>42</xdr:row>
      <xdr:rowOff>910389</xdr:rowOff>
    </xdr:to>
    <xdr:cxnSp macro="">
      <xdr:nvCxnSpPr>
        <xdr:cNvPr id="209" name="直接箭头连接符 208">
          <a:extLst>
            <a:ext uri="{FF2B5EF4-FFF2-40B4-BE49-F238E27FC236}">
              <a16:creationId xmlns:a16="http://schemas.microsoft.com/office/drawing/2014/main" id="{5E8315E2-0E31-B911-CCE5-F9FE9152E9C5}"/>
            </a:ext>
          </a:extLst>
        </xdr:cNvPr>
        <xdr:cNvCxnSpPr>
          <a:endCxn id="53" idx="1"/>
        </xdr:cNvCxnSpPr>
      </xdr:nvCxnSpPr>
      <xdr:spPr>
        <a:xfrm>
          <a:off x="2153474" y="14038440"/>
          <a:ext cx="423659" cy="120"/>
        </a:xfrm>
        <a:prstGeom prst="straightConnector1">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xdr:col>
      <xdr:colOff>430638</xdr:colOff>
      <xdr:row>42</xdr:row>
      <xdr:rowOff>125884</xdr:rowOff>
    </xdr:from>
    <xdr:to>
      <xdr:col>4</xdr:col>
      <xdr:colOff>543377</xdr:colOff>
      <xdr:row>43</xdr:row>
      <xdr:rowOff>8</xdr:rowOff>
    </xdr:to>
    <xdr:sp macro="" textlink="">
      <xdr:nvSpPr>
        <xdr:cNvPr id="47" name="流程图: 决策 46">
          <a:extLst>
            <a:ext uri="{FF2B5EF4-FFF2-40B4-BE49-F238E27FC236}">
              <a16:creationId xmlns:a16="http://schemas.microsoft.com/office/drawing/2014/main" id="{95DE3BC0-134F-428C-9337-6B91F542FE26}"/>
            </a:ext>
          </a:extLst>
        </xdr:cNvPr>
        <xdr:cNvSpPr/>
      </xdr:nvSpPr>
      <xdr:spPr>
        <a:xfrm rot="2089">
          <a:off x="3837867" y="13254055"/>
          <a:ext cx="1233967" cy="1561410"/>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ctr"/>
        <a:lstStyle/>
        <a:p>
          <a:pPr algn="ctr"/>
          <a:r>
            <a:rPr lang="zh-CN" altLang="en-US" sz="1000" b="1">
              <a:solidFill>
                <a:schemeClr val="tx1"/>
              </a:solidFill>
            </a:rPr>
            <a:t>压力降</a:t>
          </a:r>
          <a:r>
            <a:rPr lang="en-US" sz="1000" b="1" i="0">
              <a:solidFill>
                <a:sysClr val="windowText" lastClr="000000"/>
              </a:solidFill>
              <a:effectLst/>
              <a:latin typeface="+mn-lt"/>
              <a:ea typeface="+mn-ea"/>
              <a:cs typeface="+mn-cs"/>
            </a:rPr>
            <a:t>Pressure drop</a:t>
          </a:r>
          <a:endParaRPr lang="en-US" sz="1000" b="1">
            <a:solidFill>
              <a:sysClr val="windowText" lastClr="000000"/>
            </a:solidFill>
          </a:endParaRPr>
        </a:p>
      </xdr:txBody>
    </xdr:sp>
    <xdr:clientData/>
  </xdr:twoCellAnchor>
  <xdr:twoCellAnchor>
    <xdr:from>
      <xdr:col>4</xdr:col>
      <xdr:colOff>927570</xdr:colOff>
      <xdr:row>42</xdr:row>
      <xdr:rowOff>143446</xdr:rowOff>
    </xdr:from>
    <xdr:to>
      <xdr:col>5</xdr:col>
      <xdr:colOff>960778</xdr:colOff>
      <xdr:row>42</xdr:row>
      <xdr:rowOff>1678303</xdr:rowOff>
    </xdr:to>
    <xdr:sp macro="" textlink="">
      <xdr:nvSpPr>
        <xdr:cNvPr id="144" name="流程图: 决策 143">
          <a:extLst>
            <a:ext uri="{FF2B5EF4-FFF2-40B4-BE49-F238E27FC236}">
              <a16:creationId xmlns:a16="http://schemas.microsoft.com/office/drawing/2014/main" id="{9B089338-4E7A-183C-D2A5-52D56E609B99}"/>
            </a:ext>
          </a:extLst>
        </xdr:cNvPr>
        <xdr:cNvSpPr/>
      </xdr:nvSpPr>
      <xdr:spPr>
        <a:xfrm rot="2089">
          <a:off x="5445782" y="14522834"/>
          <a:ext cx="1243443" cy="1534857"/>
        </a:xfrm>
        <a:prstGeom prst="flowChartDecision">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vert="horz" rtlCol="0" anchor="ctr"/>
        <a:lstStyle/>
        <a:p>
          <a:pPr algn="ctr"/>
          <a:r>
            <a:rPr lang="zh-CN" altLang="en-US" sz="1000" b="1" i="0">
              <a:solidFill>
                <a:sysClr val="windowText" lastClr="000000"/>
              </a:solidFill>
              <a:effectLst/>
              <a:latin typeface="+mn-lt"/>
              <a:ea typeface="+mn-ea"/>
              <a:cs typeface="+mn-cs"/>
            </a:rPr>
            <a:t>型腔平衡</a:t>
          </a:r>
          <a:endParaRPr lang="en-US" sz="1000">
            <a:solidFill>
              <a:sysClr val="windowText" lastClr="000000"/>
            </a:solidFill>
            <a:effectLst/>
          </a:endParaRPr>
        </a:p>
        <a:p>
          <a:pPr algn="ctr"/>
          <a:r>
            <a:rPr lang="en-US" sz="1000" b="1" i="0">
              <a:solidFill>
                <a:sysClr val="windowText" lastClr="000000"/>
              </a:solidFill>
              <a:effectLst/>
              <a:latin typeface="+mn-lt"/>
              <a:ea typeface="+mn-ea"/>
              <a:cs typeface="+mn-cs"/>
            </a:rPr>
            <a:t>CAV balance</a:t>
          </a:r>
          <a:endParaRPr lang="en-US" sz="1000">
            <a:solidFill>
              <a:sysClr val="windowText" lastClr="000000"/>
            </a:solidFill>
            <a:effectLst/>
          </a:endParaRPr>
        </a:p>
      </xdr:txBody>
    </xdr:sp>
    <xdr:clientData/>
  </xdr:twoCellAnchor>
  <xdr:oneCellAnchor>
    <xdr:from>
      <xdr:col>4</xdr:col>
      <xdr:colOff>1004383</xdr:colOff>
      <xdr:row>41</xdr:row>
      <xdr:rowOff>65114</xdr:rowOff>
    </xdr:from>
    <xdr:ext cx="365760" cy="198120"/>
    <xdr:sp macro="" textlink="">
      <xdr:nvSpPr>
        <xdr:cNvPr id="227" name="文本框 226">
          <a:extLst>
            <a:ext uri="{FF2B5EF4-FFF2-40B4-BE49-F238E27FC236}">
              <a16:creationId xmlns:a16="http://schemas.microsoft.com/office/drawing/2014/main" id="{DFC792EB-35CA-AE10-26BE-F2ED3DF4B345}"/>
            </a:ext>
          </a:extLst>
        </xdr:cNvPr>
        <xdr:cNvSpPr txBox="1"/>
      </xdr:nvSpPr>
      <xdr:spPr>
        <a:xfrm>
          <a:off x="5331218" y="13005862"/>
          <a:ext cx="365760" cy="198120"/>
        </a:xfrm>
        <a:prstGeom prst="rect">
          <a:avLst/>
        </a:prstGeom>
        <a:solidFill>
          <a:schemeClr val="accent2"/>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NG</a:t>
          </a:r>
        </a:p>
      </xdr:txBody>
    </xdr:sp>
    <xdr:clientData/>
  </xdr:oneCellAnchor>
  <xdr:oneCellAnchor>
    <xdr:from>
      <xdr:col>5</xdr:col>
      <xdr:colOff>905136</xdr:colOff>
      <xdr:row>42</xdr:row>
      <xdr:rowOff>1013725</xdr:rowOff>
    </xdr:from>
    <xdr:ext cx="365760" cy="229985"/>
    <xdr:sp macro="" textlink="">
      <xdr:nvSpPr>
        <xdr:cNvPr id="233" name="文本框 232">
          <a:extLst>
            <a:ext uri="{FF2B5EF4-FFF2-40B4-BE49-F238E27FC236}">
              <a16:creationId xmlns:a16="http://schemas.microsoft.com/office/drawing/2014/main" id="{CF449B03-9772-B945-EC71-44C29B13B7AF}"/>
            </a:ext>
          </a:extLst>
        </xdr:cNvPr>
        <xdr:cNvSpPr txBox="1"/>
      </xdr:nvSpPr>
      <xdr:spPr>
        <a:xfrm>
          <a:off x="6391536" y="14106873"/>
          <a:ext cx="365760" cy="229985"/>
        </a:xfrm>
        <a:prstGeom prst="rect">
          <a:avLst/>
        </a:prstGeom>
        <a:solidFill>
          <a:srgbClr val="00B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OK</a:t>
          </a:r>
        </a:p>
      </xdr:txBody>
    </xdr:sp>
    <xdr:clientData/>
  </xdr:oneCellAnchor>
  <xdr:twoCellAnchor>
    <xdr:from>
      <xdr:col>2</xdr:col>
      <xdr:colOff>1199477</xdr:colOff>
      <xdr:row>42</xdr:row>
      <xdr:rowOff>906214</xdr:rowOff>
    </xdr:from>
    <xdr:to>
      <xdr:col>3</xdr:col>
      <xdr:colOff>430638</xdr:colOff>
      <xdr:row>42</xdr:row>
      <xdr:rowOff>910389</xdr:rowOff>
    </xdr:to>
    <xdr:cxnSp macro="">
      <xdr:nvCxnSpPr>
        <xdr:cNvPr id="234" name="直接箭头连接符 233">
          <a:extLst>
            <a:ext uri="{FF2B5EF4-FFF2-40B4-BE49-F238E27FC236}">
              <a16:creationId xmlns:a16="http://schemas.microsoft.com/office/drawing/2014/main" id="{36F12B24-93F9-FA7F-4ECB-F0F505D182E4}"/>
            </a:ext>
          </a:extLst>
        </xdr:cNvPr>
        <xdr:cNvCxnSpPr>
          <a:stCxn id="53" idx="3"/>
          <a:endCxn id="47" idx="1"/>
        </xdr:cNvCxnSpPr>
      </xdr:nvCxnSpPr>
      <xdr:spPr>
        <a:xfrm flipV="1">
          <a:off x="3398391" y="14034385"/>
          <a:ext cx="439476" cy="4175"/>
        </a:xfrm>
        <a:prstGeom prst="straightConnector1">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543377</xdr:colOff>
      <xdr:row>42</xdr:row>
      <xdr:rowOff>910486</xdr:rowOff>
    </xdr:from>
    <xdr:to>
      <xdr:col>4</xdr:col>
      <xdr:colOff>927570</xdr:colOff>
      <xdr:row>42</xdr:row>
      <xdr:rowOff>910497</xdr:rowOff>
    </xdr:to>
    <xdr:cxnSp macro="">
      <xdr:nvCxnSpPr>
        <xdr:cNvPr id="237" name="直接箭头连接符 236">
          <a:extLst>
            <a:ext uri="{FF2B5EF4-FFF2-40B4-BE49-F238E27FC236}">
              <a16:creationId xmlns:a16="http://schemas.microsoft.com/office/drawing/2014/main" id="{0E3D0F9B-1BC3-2BD8-B69B-54BE96D3A43F}"/>
            </a:ext>
          </a:extLst>
        </xdr:cNvPr>
        <xdr:cNvCxnSpPr>
          <a:stCxn id="47" idx="3"/>
          <a:endCxn id="144" idx="1"/>
        </xdr:cNvCxnSpPr>
      </xdr:nvCxnSpPr>
      <xdr:spPr>
        <a:xfrm>
          <a:off x="5061589" y="15289874"/>
          <a:ext cx="384193" cy="11"/>
        </a:xfrm>
        <a:prstGeom prst="straightConnector1">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oneCellAnchor>
    <xdr:from>
      <xdr:col>4</xdr:col>
      <xdr:colOff>523320</xdr:colOff>
      <xdr:row>42</xdr:row>
      <xdr:rowOff>977484</xdr:rowOff>
    </xdr:from>
    <xdr:ext cx="365760" cy="213360"/>
    <xdr:sp macro="" textlink="">
      <xdr:nvSpPr>
        <xdr:cNvPr id="245" name="文本框 244">
          <a:extLst>
            <a:ext uri="{FF2B5EF4-FFF2-40B4-BE49-F238E27FC236}">
              <a16:creationId xmlns:a16="http://schemas.microsoft.com/office/drawing/2014/main" id="{CCE1BC37-E449-99DA-26B9-A75EE3B99C60}"/>
            </a:ext>
          </a:extLst>
        </xdr:cNvPr>
        <xdr:cNvSpPr txBox="1"/>
      </xdr:nvSpPr>
      <xdr:spPr>
        <a:xfrm>
          <a:off x="4850155" y="14070632"/>
          <a:ext cx="365760" cy="213360"/>
        </a:xfrm>
        <a:prstGeom prst="rect">
          <a:avLst/>
        </a:prstGeom>
        <a:solidFill>
          <a:srgbClr val="00B050"/>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r>
            <a:rPr lang="en-US" sz="1100"/>
            <a:t>OK</a:t>
          </a:r>
        </a:p>
      </xdr:txBody>
    </xdr:sp>
    <xdr:clientData/>
  </xdr:oneCellAnchor>
  <xdr:twoCellAnchor>
    <xdr:from>
      <xdr:col>5</xdr:col>
      <xdr:colOff>960778</xdr:colOff>
      <xdr:row>42</xdr:row>
      <xdr:rowOff>910273</xdr:rowOff>
    </xdr:from>
    <xdr:to>
      <xdr:col>5</xdr:col>
      <xdr:colOff>1291247</xdr:colOff>
      <xdr:row>42</xdr:row>
      <xdr:rowOff>911253</xdr:rowOff>
    </xdr:to>
    <xdr:cxnSp macro="">
      <xdr:nvCxnSpPr>
        <xdr:cNvPr id="246" name="直接箭头连接符 245">
          <a:extLst>
            <a:ext uri="{FF2B5EF4-FFF2-40B4-BE49-F238E27FC236}">
              <a16:creationId xmlns:a16="http://schemas.microsoft.com/office/drawing/2014/main" id="{FB2FA327-ED30-CBB4-EE6D-B549A03DCCB3}"/>
            </a:ext>
          </a:extLst>
        </xdr:cNvPr>
        <xdr:cNvCxnSpPr>
          <a:stCxn id="144" idx="3"/>
          <a:endCxn id="57" idx="1"/>
        </xdr:cNvCxnSpPr>
      </xdr:nvCxnSpPr>
      <xdr:spPr>
        <a:xfrm flipV="1">
          <a:off x="6689225" y="15289661"/>
          <a:ext cx="330469" cy="980"/>
        </a:xfrm>
        <a:prstGeom prst="straightConnector1">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830304</xdr:colOff>
      <xdr:row>42</xdr:row>
      <xdr:rowOff>910212</xdr:rowOff>
    </xdr:from>
    <xdr:to>
      <xdr:col>7</xdr:col>
      <xdr:colOff>307508</xdr:colOff>
      <xdr:row>42</xdr:row>
      <xdr:rowOff>910273</xdr:rowOff>
    </xdr:to>
    <xdr:cxnSp macro="">
      <xdr:nvCxnSpPr>
        <xdr:cNvPr id="250" name="直接箭头连接符 249">
          <a:extLst>
            <a:ext uri="{FF2B5EF4-FFF2-40B4-BE49-F238E27FC236}">
              <a16:creationId xmlns:a16="http://schemas.microsoft.com/office/drawing/2014/main" id="{79AD7DDB-F495-573B-7653-BF0FE68DBF5E}"/>
            </a:ext>
          </a:extLst>
        </xdr:cNvPr>
        <xdr:cNvCxnSpPr>
          <a:stCxn id="57" idx="3"/>
          <a:endCxn id="58" idx="1"/>
        </xdr:cNvCxnSpPr>
      </xdr:nvCxnSpPr>
      <xdr:spPr>
        <a:xfrm flipV="1">
          <a:off x="7884247" y="14038383"/>
          <a:ext cx="413375" cy="61"/>
        </a:xfrm>
        <a:prstGeom prst="straightConnector1">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342695</xdr:colOff>
      <xdr:row>42</xdr:row>
      <xdr:rowOff>910212</xdr:rowOff>
    </xdr:from>
    <xdr:to>
      <xdr:col>8</xdr:col>
      <xdr:colOff>767273</xdr:colOff>
      <xdr:row>42</xdr:row>
      <xdr:rowOff>916465</xdr:rowOff>
    </xdr:to>
    <xdr:cxnSp macro="">
      <xdr:nvCxnSpPr>
        <xdr:cNvPr id="262" name="直接箭头连接符 261">
          <a:extLst>
            <a:ext uri="{FF2B5EF4-FFF2-40B4-BE49-F238E27FC236}">
              <a16:creationId xmlns:a16="http://schemas.microsoft.com/office/drawing/2014/main" id="{97E16E55-414D-19C5-D3FF-098A9F591FBD}"/>
            </a:ext>
          </a:extLst>
        </xdr:cNvPr>
        <xdr:cNvCxnSpPr>
          <a:stCxn id="58" idx="3"/>
          <a:endCxn id="62" idx="1"/>
        </xdr:cNvCxnSpPr>
      </xdr:nvCxnSpPr>
      <xdr:spPr>
        <a:xfrm>
          <a:off x="9181895" y="14038383"/>
          <a:ext cx="424578" cy="6253"/>
        </a:xfrm>
        <a:prstGeom prst="straightConnector1">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9</xdr:col>
      <xdr:colOff>785985</xdr:colOff>
      <xdr:row>42</xdr:row>
      <xdr:rowOff>916465</xdr:rowOff>
    </xdr:from>
    <xdr:to>
      <xdr:col>11</xdr:col>
      <xdr:colOff>164540</xdr:colOff>
      <xdr:row>42</xdr:row>
      <xdr:rowOff>920250</xdr:rowOff>
    </xdr:to>
    <xdr:cxnSp macro="">
      <xdr:nvCxnSpPr>
        <xdr:cNvPr id="266" name="直接箭头连接符 265">
          <a:extLst>
            <a:ext uri="{FF2B5EF4-FFF2-40B4-BE49-F238E27FC236}">
              <a16:creationId xmlns:a16="http://schemas.microsoft.com/office/drawing/2014/main" id="{8AA8EDC0-DCA9-B4D8-8B46-4CAEA9CCD37B}"/>
            </a:ext>
          </a:extLst>
        </xdr:cNvPr>
        <xdr:cNvCxnSpPr>
          <a:stCxn id="62" idx="3"/>
          <a:endCxn id="9" idx="1"/>
        </xdr:cNvCxnSpPr>
      </xdr:nvCxnSpPr>
      <xdr:spPr>
        <a:xfrm>
          <a:off x="10506928" y="14044636"/>
          <a:ext cx="401812" cy="3785"/>
        </a:xfrm>
        <a:prstGeom prst="straightConnector1">
          <a:avLst/>
        </a:prstGeom>
        <a:ln w="38100">
          <a:solidFill>
            <a:srgbClr val="FF0000"/>
          </a:solidFill>
          <a:headEnd type="none"/>
          <a:tailEnd type="triangle"/>
        </a:ln>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8</xdr:col>
      <xdr:colOff>33996</xdr:colOff>
      <xdr:row>3</xdr:row>
      <xdr:rowOff>45721</xdr:rowOff>
    </xdr:from>
    <xdr:to>
      <xdr:col>15</xdr:col>
      <xdr:colOff>601980</xdr:colOff>
      <xdr:row>3</xdr:row>
      <xdr:rowOff>533402</xdr:rowOff>
    </xdr:to>
    <xdr:grpSp>
      <xdr:nvGrpSpPr>
        <xdr:cNvPr id="2" name="组合 1">
          <a:extLst>
            <a:ext uri="{FF2B5EF4-FFF2-40B4-BE49-F238E27FC236}">
              <a16:creationId xmlns:a16="http://schemas.microsoft.com/office/drawing/2014/main" id="{7897177E-F45F-40C3-9D0B-9853BC2BB81A}"/>
            </a:ext>
          </a:extLst>
        </xdr:cNvPr>
        <xdr:cNvGrpSpPr/>
      </xdr:nvGrpSpPr>
      <xdr:grpSpPr>
        <a:xfrm>
          <a:off x="2975316" y="937261"/>
          <a:ext cx="3219744" cy="487681"/>
          <a:chOff x="1752104" y="3283799"/>
          <a:chExt cx="6592484" cy="1098402"/>
        </a:xfrm>
      </xdr:grpSpPr>
      <xdr:sp macro="" textlink="">
        <xdr:nvSpPr>
          <xdr:cNvPr id="3" name="矩形 2">
            <a:extLst>
              <a:ext uri="{FF2B5EF4-FFF2-40B4-BE49-F238E27FC236}">
                <a16:creationId xmlns:a16="http://schemas.microsoft.com/office/drawing/2014/main" id="{5182F4CA-788D-B423-7AD0-A6048C579476}"/>
              </a:ext>
            </a:extLst>
          </xdr:cNvPr>
          <xdr:cNvSpPr/>
        </xdr:nvSpPr>
        <xdr:spPr>
          <a:xfrm>
            <a:off x="2532037" y="3458397"/>
            <a:ext cx="539030" cy="717857"/>
          </a:xfrm>
          <a:prstGeom prst="rect">
            <a:avLst/>
          </a:prstGeom>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sp macro="" textlink="">
        <xdr:nvSpPr>
          <xdr:cNvPr id="4" name="矩形 3">
            <a:extLst>
              <a:ext uri="{FF2B5EF4-FFF2-40B4-BE49-F238E27FC236}">
                <a16:creationId xmlns:a16="http://schemas.microsoft.com/office/drawing/2014/main" id="{24E5DD5B-907D-3375-A001-736F446018D2}"/>
              </a:ext>
            </a:extLst>
          </xdr:cNvPr>
          <xdr:cNvSpPr/>
        </xdr:nvSpPr>
        <xdr:spPr>
          <a:xfrm>
            <a:off x="3090133" y="3283799"/>
            <a:ext cx="930167" cy="1012254"/>
          </a:xfrm>
          <a:prstGeom prst="rect">
            <a:avLst/>
          </a:prstGeom>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grpSp>
        <xdr:nvGrpSpPr>
          <xdr:cNvPr id="5" name="组合 4">
            <a:extLst>
              <a:ext uri="{FF2B5EF4-FFF2-40B4-BE49-F238E27FC236}">
                <a16:creationId xmlns:a16="http://schemas.microsoft.com/office/drawing/2014/main" id="{D54ECFA6-01C2-4910-866B-BF5CBB449B0A}"/>
              </a:ext>
            </a:extLst>
          </xdr:cNvPr>
          <xdr:cNvGrpSpPr/>
        </xdr:nvGrpSpPr>
        <xdr:grpSpPr>
          <a:xfrm>
            <a:off x="4044607" y="3310972"/>
            <a:ext cx="1105735" cy="995083"/>
            <a:chOff x="4044607" y="3310972"/>
            <a:chExt cx="1105735" cy="995083"/>
          </a:xfrm>
        </xdr:grpSpPr>
        <xdr:sp macro="" textlink="">
          <xdr:nvSpPr>
            <xdr:cNvPr id="14" name="矩形 13">
              <a:extLst>
                <a:ext uri="{FF2B5EF4-FFF2-40B4-BE49-F238E27FC236}">
                  <a16:creationId xmlns:a16="http://schemas.microsoft.com/office/drawing/2014/main" id="{E66EE945-5367-C43A-6437-DF6BA43B5617}"/>
                </a:ext>
              </a:extLst>
            </xdr:cNvPr>
            <xdr:cNvSpPr/>
          </xdr:nvSpPr>
          <xdr:spPr>
            <a:xfrm>
              <a:off x="4044607" y="3389505"/>
              <a:ext cx="152400" cy="871655"/>
            </a:xfrm>
            <a:prstGeom prst="rect">
              <a:avLst/>
            </a:prstGeom>
            <a:solidFill>
              <a:srgbClr val="FFFF00"/>
            </a:solidFill>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sp macro="" textlink="">
          <xdr:nvSpPr>
            <xdr:cNvPr id="15" name="矩形 14">
              <a:extLst>
                <a:ext uri="{FF2B5EF4-FFF2-40B4-BE49-F238E27FC236}">
                  <a16:creationId xmlns:a16="http://schemas.microsoft.com/office/drawing/2014/main" id="{AE7CEF2C-5F13-92F5-EE6B-42E82F694C5F}"/>
                </a:ext>
              </a:extLst>
            </xdr:cNvPr>
            <xdr:cNvSpPr/>
          </xdr:nvSpPr>
          <xdr:spPr>
            <a:xfrm>
              <a:off x="4212074" y="3310972"/>
              <a:ext cx="938268" cy="995083"/>
            </a:xfrm>
            <a:prstGeom prst="rect">
              <a:avLst/>
            </a:prstGeom>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grpSp>
      <xdr:grpSp>
        <xdr:nvGrpSpPr>
          <xdr:cNvPr id="6" name="组合 5">
            <a:extLst>
              <a:ext uri="{FF2B5EF4-FFF2-40B4-BE49-F238E27FC236}">
                <a16:creationId xmlns:a16="http://schemas.microsoft.com/office/drawing/2014/main" id="{3C4112DE-64C6-7AC8-60D2-C4BDE9026AE8}"/>
              </a:ext>
            </a:extLst>
          </xdr:cNvPr>
          <xdr:cNvGrpSpPr/>
        </xdr:nvGrpSpPr>
        <xdr:grpSpPr>
          <a:xfrm>
            <a:off x="5165409" y="3318127"/>
            <a:ext cx="1099907" cy="1029750"/>
            <a:chOff x="3838633" y="3320367"/>
            <a:chExt cx="1099907" cy="1029750"/>
          </a:xfrm>
        </xdr:grpSpPr>
        <xdr:sp macro="" textlink="">
          <xdr:nvSpPr>
            <xdr:cNvPr id="12" name="矩形 11">
              <a:extLst>
                <a:ext uri="{FF2B5EF4-FFF2-40B4-BE49-F238E27FC236}">
                  <a16:creationId xmlns:a16="http://schemas.microsoft.com/office/drawing/2014/main" id="{149C888D-0124-4828-2A85-A837D4AD2554}"/>
                </a:ext>
              </a:extLst>
            </xdr:cNvPr>
            <xdr:cNvSpPr/>
          </xdr:nvSpPr>
          <xdr:spPr>
            <a:xfrm>
              <a:off x="3838633" y="3415605"/>
              <a:ext cx="169199" cy="871655"/>
            </a:xfrm>
            <a:prstGeom prst="rect">
              <a:avLst/>
            </a:prstGeom>
            <a:solidFill>
              <a:srgbClr val="FFFF00"/>
            </a:solidFill>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sp macro="" textlink="">
          <xdr:nvSpPr>
            <xdr:cNvPr id="13" name="矩形 12">
              <a:extLst>
                <a:ext uri="{FF2B5EF4-FFF2-40B4-BE49-F238E27FC236}">
                  <a16:creationId xmlns:a16="http://schemas.microsoft.com/office/drawing/2014/main" id="{3844F074-8EA2-D7C1-A694-687FCB7434C2}"/>
                </a:ext>
              </a:extLst>
            </xdr:cNvPr>
            <xdr:cNvSpPr/>
          </xdr:nvSpPr>
          <xdr:spPr>
            <a:xfrm>
              <a:off x="4000285" y="3320367"/>
              <a:ext cx="938255" cy="1029750"/>
            </a:xfrm>
            <a:prstGeom prst="rect">
              <a:avLst/>
            </a:prstGeom>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grpSp>
      <xdr:grpSp>
        <xdr:nvGrpSpPr>
          <xdr:cNvPr id="7" name="组合 6">
            <a:extLst>
              <a:ext uri="{FF2B5EF4-FFF2-40B4-BE49-F238E27FC236}">
                <a16:creationId xmlns:a16="http://schemas.microsoft.com/office/drawing/2014/main" id="{C206A03E-E643-145F-020D-7497498C08D3}"/>
              </a:ext>
            </a:extLst>
          </xdr:cNvPr>
          <xdr:cNvGrpSpPr/>
        </xdr:nvGrpSpPr>
        <xdr:grpSpPr>
          <a:xfrm>
            <a:off x="6267311" y="3300959"/>
            <a:ext cx="2077277" cy="1081242"/>
            <a:chOff x="3622723" y="3268543"/>
            <a:chExt cx="2077277" cy="1081242"/>
          </a:xfrm>
        </xdr:grpSpPr>
        <xdr:sp macro="" textlink="">
          <xdr:nvSpPr>
            <xdr:cNvPr id="10" name="矩形 9">
              <a:extLst>
                <a:ext uri="{FF2B5EF4-FFF2-40B4-BE49-F238E27FC236}">
                  <a16:creationId xmlns:a16="http://schemas.microsoft.com/office/drawing/2014/main" id="{FD2100D7-1BE0-7991-2955-C11C3A0AE779}"/>
                </a:ext>
              </a:extLst>
            </xdr:cNvPr>
            <xdr:cNvSpPr/>
          </xdr:nvSpPr>
          <xdr:spPr>
            <a:xfrm>
              <a:off x="3622723" y="3389081"/>
              <a:ext cx="152400" cy="871655"/>
            </a:xfrm>
            <a:prstGeom prst="rect">
              <a:avLst/>
            </a:prstGeom>
            <a:solidFill>
              <a:srgbClr val="FFFF00"/>
            </a:solidFill>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sp macro="" textlink="">
          <xdr:nvSpPr>
            <xdr:cNvPr id="11" name="矩形 10">
              <a:extLst>
                <a:ext uri="{FF2B5EF4-FFF2-40B4-BE49-F238E27FC236}">
                  <a16:creationId xmlns:a16="http://schemas.microsoft.com/office/drawing/2014/main" id="{F051E078-996A-D94E-DF82-F10C2CF7F802}"/>
                </a:ext>
              </a:extLst>
            </xdr:cNvPr>
            <xdr:cNvSpPr/>
          </xdr:nvSpPr>
          <xdr:spPr>
            <a:xfrm>
              <a:off x="3775762" y="3285710"/>
              <a:ext cx="839399" cy="1029748"/>
            </a:xfrm>
            <a:prstGeom prst="rect">
              <a:avLst/>
            </a:prstGeom>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sp macro="" textlink="">
          <xdr:nvSpPr>
            <xdr:cNvPr id="16" name="矩形 15">
              <a:extLst>
                <a:ext uri="{FF2B5EF4-FFF2-40B4-BE49-F238E27FC236}">
                  <a16:creationId xmlns:a16="http://schemas.microsoft.com/office/drawing/2014/main" id="{1594461A-9843-FFC4-D45B-0BBFDF99668C}"/>
                </a:ext>
              </a:extLst>
            </xdr:cNvPr>
            <xdr:cNvSpPr/>
          </xdr:nvSpPr>
          <xdr:spPr>
            <a:xfrm>
              <a:off x="4632226" y="3389081"/>
              <a:ext cx="152400" cy="871655"/>
            </a:xfrm>
            <a:prstGeom prst="rect">
              <a:avLst/>
            </a:prstGeom>
            <a:solidFill>
              <a:srgbClr val="FFFF00"/>
            </a:solidFill>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sp macro="" textlink="">
          <xdr:nvSpPr>
            <xdr:cNvPr id="44" name="矩形 43">
              <a:extLst>
                <a:ext uri="{FF2B5EF4-FFF2-40B4-BE49-F238E27FC236}">
                  <a16:creationId xmlns:a16="http://schemas.microsoft.com/office/drawing/2014/main" id="{6C27E159-F4BD-FB96-61FE-4F3FCE6083E4}"/>
                </a:ext>
              </a:extLst>
            </xdr:cNvPr>
            <xdr:cNvSpPr/>
          </xdr:nvSpPr>
          <xdr:spPr>
            <a:xfrm>
              <a:off x="4800332" y="3268543"/>
              <a:ext cx="899668" cy="1081242"/>
            </a:xfrm>
            <a:prstGeom prst="rect">
              <a:avLst/>
            </a:prstGeom>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grpSp>
      <xdr:sp macro="" textlink="">
        <xdr:nvSpPr>
          <xdr:cNvPr id="8" name="矩形 7">
            <a:extLst>
              <a:ext uri="{FF2B5EF4-FFF2-40B4-BE49-F238E27FC236}">
                <a16:creationId xmlns:a16="http://schemas.microsoft.com/office/drawing/2014/main" id="{48E0B323-C9C1-A3CB-8B7D-70A043B0A31F}"/>
              </a:ext>
            </a:extLst>
          </xdr:cNvPr>
          <xdr:cNvSpPr/>
        </xdr:nvSpPr>
        <xdr:spPr>
          <a:xfrm>
            <a:off x="2155517" y="3549505"/>
            <a:ext cx="376517" cy="528918"/>
          </a:xfrm>
          <a:prstGeom prst="rect">
            <a:avLst/>
          </a:prstGeom>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sp macro="" textlink="">
        <xdr:nvSpPr>
          <xdr:cNvPr id="9" name="梯形 8">
            <a:extLst>
              <a:ext uri="{FF2B5EF4-FFF2-40B4-BE49-F238E27FC236}">
                <a16:creationId xmlns:a16="http://schemas.microsoft.com/office/drawing/2014/main" id="{A56EEB66-BBF3-465B-0B93-1FAAB64A727E}"/>
              </a:ext>
            </a:extLst>
          </xdr:cNvPr>
          <xdr:cNvSpPr/>
        </xdr:nvSpPr>
        <xdr:spPr>
          <a:xfrm rot="16200000">
            <a:off x="1756589" y="3625708"/>
            <a:ext cx="385477" cy="394448"/>
          </a:xfrm>
          <a:prstGeom prst="trapezoid">
            <a:avLst/>
          </a:prstGeom>
        </xdr:spPr>
        <xdr:style>
          <a:lnRef idx="1">
            <a:schemeClr val="accent1"/>
          </a:lnRef>
          <a:fillRef idx="3">
            <a:schemeClr val="accent1"/>
          </a:fillRef>
          <a:effectRef idx="2">
            <a:schemeClr val="accent1"/>
          </a:effectRef>
          <a:fontRef idx="minor">
            <a:schemeClr val="lt1"/>
          </a:fontRef>
        </xdr:style>
        <xdr:txBody>
          <a:bodyPr wrap="square" rtlCol="0" anchor="ctr"/>
          <a:lstStyle>
            <a:defPPr>
              <a:defRPr lang="en-US"/>
            </a:defPPr>
            <a:lvl1pPr algn="l" rtl="0" fontAlgn="base">
              <a:spcBef>
                <a:spcPct val="0"/>
              </a:spcBef>
              <a:spcAft>
                <a:spcPct val="0"/>
              </a:spcAft>
              <a:defRPr sz="1400" b="1" kern="1200">
                <a:solidFill>
                  <a:schemeClr val="lt1"/>
                </a:solidFill>
                <a:latin typeface="+mn-lt"/>
                <a:ea typeface="+mn-ea"/>
                <a:cs typeface="+mn-cs"/>
              </a:defRPr>
            </a:lvl1pPr>
            <a:lvl2pPr marL="457200" algn="l" rtl="0" fontAlgn="base">
              <a:spcBef>
                <a:spcPct val="0"/>
              </a:spcBef>
              <a:spcAft>
                <a:spcPct val="0"/>
              </a:spcAft>
              <a:defRPr sz="1400" b="1" kern="1200">
                <a:solidFill>
                  <a:schemeClr val="lt1"/>
                </a:solidFill>
                <a:latin typeface="+mn-lt"/>
                <a:ea typeface="+mn-ea"/>
                <a:cs typeface="+mn-cs"/>
              </a:defRPr>
            </a:lvl2pPr>
            <a:lvl3pPr marL="914400" algn="l" rtl="0" fontAlgn="base">
              <a:spcBef>
                <a:spcPct val="0"/>
              </a:spcBef>
              <a:spcAft>
                <a:spcPct val="0"/>
              </a:spcAft>
              <a:defRPr sz="1400" b="1" kern="1200">
                <a:solidFill>
                  <a:schemeClr val="lt1"/>
                </a:solidFill>
                <a:latin typeface="+mn-lt"/>
                <a:ea typeface="+mn-ea"/>
                <a:cs typeface="+mn-cs"/>
              </a:defRPr>
            </a:lvl3pPr>
            <a:lvl4pPr marL="1371600" algn="l" rtl="0" fontAlgn="base">
              <a:spcBef>
                <a:spcPct val="0"/>
              </a:spcBef>
              <a:spcAft>
                <a:spcPct val="0"/>
              </a:spcAft>
              <a:defRPr sz="1400" b="1" kern="1200">
                <a:solidFill>
                  <a:schemeClr val="lt1"/>
                </a:solidFill>
                <a:latin typeface="+mn-lt"/>
                <a:ea typeface="+mn-ea"/>
                <a:cs typeface="+mn-cs"/>
              </a:defRPr>
            </a:lvl4pPr>
            <a:lvl5pPr marL="1828800" algn="l" rtl="0" fontAlgn="base">
              <a:spcBef>
                <a:spcPct val="0"/>
              </a:spcBef>
              <a:spcAft>
                <a:spcPct val="0"/>
              </a:spcAft>
              <a:defRPr sz="1400" b="1" kern="1200">
                <a:solidFill>
                  <a:schemeClr val="lt1"/>
                </a:solidFill>
                <a:latin typeface="+mn-lt"/>
                <a:ea typeface="+mn-ea"/>
                <a:cs typeface="+mn-cs"/>
              </a:defRPr>
            </a:lvl5pPr>
            <a:lvl6pPr marL="2286000" algn="l" defTabSz="914400" rtl="0" eaLnBrk="1" latinLnBrk="0" hangingPunct="1">
              <a:defRPr sz="1400" b="1" kern="1200">
                <a:solidFill>
                  <a:schemeClr val="lt1"/>
                </a:solidFill>
                <a:latin typeface="+mn-lt"/>
                <a:ea typeface="+mn-ea"/>
                <a:cs typeface="+mn-cs"/>
              </a:defRPr>
            </a:lvl6pPr>
            <a:lvl7pPr marL="2743200" algn="l" defTabSz="914400" rtl="0" eaLnBrk="1" latinLnBrk="0" hangingPunct="1">
              <a:defRPr sz="1400" b="1" kern="1200">
                <a:solidFill>
                  <a:schemeClr val="lt1"/>
                </a:solidFill>
                <a:latin typeface="+mn-lt"/>
                <a:ea typeface="+mn-ea"/>
                <a:cs typeface="+mn-cs"/>
              </a:defRPr>
            </a:lvl7pPr>
            <a:lvl8pPr marL="3200400" algn="l" defTabSz="914400" rtl="0" eaLnBrk="1" latinLnBrk="0" hangingPunct="1">
              <a:defRPr sz="1400" b="1" kern="1200">
                <a:solidFill>
                  <a:schemeClr val="lt1"/>
                </a:solidFill>
                <a:latin typeface="+mn-lt"/>
                <a:ea typeface="+mn-ea"/>
                <a:cs typeface="+mn-cs"/>
              </a:defRPr>
            </a:lvl8pPr>
            <a:lvl9pPr marL="3657600" algn="l" defTabSz="914400" rtl="0" eaLnBrk="1" latinLnBrk="0" hangingPunct="1">
              <a:defRPr sz="1400" b="1" kern="1200">
                <a:solidFill>
                  <a:schemeClr val="lt1"/>
                </a:solidFill>
                <a:latin typeface="+mn-lt"/>
                <a:ea typeface="+mn-ea"/>
                <a:cs typeface="+mn-cs"/>
              </a:defRPr>
            </a:lvl9pPr>
          </a:lstStyle>
          <a:p>
            <a:pPr algn="ctr"/>
            <a:endParaRPr lang="en-US"/>
          </a:p>
        </xdr:txBody>
      </xdr:sp>
    </xdr:grpSp>
    <xdr:clientData/>
  </xdr:twoCellAnchor>
  <xdr:twoCellAnchor>
    <xdr:from>
      <xdr:col>1</xdr:col>
      <xdr:colOff>266700</xdr:colOff>
      <xdr:row>28</xdr:row>
      <xdr:rowOff>83820</xdr:rowOff>
    </xdr:from>
    <xdr:to>
      <xdr:col>6</xdr:col>
      <xdr:colOff>121920</xdr:colOff>
      <xdr:row>39</xdr:row>
      <xdr:rowOff>15240</xdr:rowOff>
    </xdr:to>
    <xdr:sp macro="" textlink="">
      <xdr:nvSpPr>
        <xdr:cNvPr id="20" name="矩形 19">
          <a:extLst>
            <a:ext uri="{FF2B5EF4-FFF2-40B4-BE49-F238E27FC236}">
              <a16:creationId xmlns:a16="http://schemas.microsoft.com/office/drawing/2014/main" id="{FCF4B383-EBD9-C973-A7C2-6E799BAD2FEF}"/>
            </a:ext>
          </a:extLst>
        </xdr:cNvPr>
        <xdr:cNvSpPr/>
      </xdr:nvSpPr>
      <xdr:spPr>
        <a:xfrm>
          <a:off x="632460" y="7078980"/>
          <a:ext cx="1775460" cy="1943100"/>
        </a:xfrm>
        <a:prstGeom prst="rect">
          <a:avLst/>
        </a:prstGeom>
        <a:no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137160</xdr:colOff>
      <xdr:row>28</xdr:row>
      <xdr:rowOff>121920</xdr:rowOff>
    </xdr:from>
    <xdr:to>
      <xdr:col>14</xdr:col>
      <xdr:colOff>525780</xdr:colOff>
      <xdr:row>39</xdr:row>
      <xdr:rowOff>53340</xdr:rowOff>
    </xdr:to>
    <xdr:sp macro="" textlink="">
      <xdr:nvSpPr>
        <xdr:cNvPr id="21" name="矩形 20">
          <a:extLst>
            <a:ext uri="{FF2B5EF4-FFF2-40B4-BE49-F238E27FC236}">
              <a16:creationId xmlns:a16="http://schemas.microsoft.com/office/drawing/2014/main" id="{12A74031-AE67-78E6-316D-32115B6523AE}"/>
            </a:ext>
          </a:extLst>
        </xdr:cNvPr>
        <xdr:cNvSpPr/>
      </xdr:nvSpPr>
      <xdr:spPr>
        <a:xfrm>
          <a:off x="3848100" y="7117080"/>
          <a:ext cx="1775460" cy="1943100"/>
        </a:xfrm>
        <a:prstGeom prst="rect">
          <a:avLst/>
        </a:prstGeom>
        <a:noFill/>
        <a:ln>
          <a:solidFill>
            <a:schemeClr val="tx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335280</xdr:colOff>
      <xdr:row>28</xdr:row>
      <xdr:rowOff>167640</xdr:rowOff>
    </xdr:from>
    <xdr:to>
      <xdr:col>3</xdr:col>
      <xdr:colOff>91440</xdr:colOff>
      <xdr:row>31</xdr:row>
      <xdr:rowOff>45720</xdr:rowOff>
    </xdr:to>
    <xdr:sp macro="" textlink="">
      <xdr:nvSpPr>
        <xdr:cNvPr id="23" name="流程图: 接点 22">
          <a:extLst>
            <a:ext uri="{FF2B5EF4-FFF2-40B4-BE49-F238E27FC236}">
              <a16:creationId xmlns:a16="http://schemas.microsoft.com/office/drawing/2014/main" id="{E6158570-EB8C-CD8B-49F9-77B1AA727FD6}"/>
            </a:ext>
          </a:extLst>
        </xdr:cNvPr>
        <xdr:cNvSpPr/>
      </xdr:nvSpPr>
      <xdr:spPr>
        <a:xfrm>
          <a:off x="685800" y="7840980"/>
          <a:ext cx="487680" cy="42672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61</a:t>
          </a:r>
        </a:p>
      </xdr:txBody>
    </xdr:sp>
    <xdr:clientData/>
  </xdr:twoCellAnchor>
  <xdr:twoCellAnchor>
    <xdr:from>
      <xdr:col>4</xdr:col>
      <xdr:colOff>281940</xdr:colOff>
      <xdr:row>28</xdr:row>
      <xdr:rowOff>167640</xdr:rowOff>
    </xdr:from>
    <xdr:to>
      <xdr:col>6</xdr:col>
      <xdr:colOff>45720</xdr:colOff>
      <xdr:row>31</xdr:row>
      <xdr:rowOff>45720</xdr:rowOff>
    </xdr:to>
    <xdr:sp macro="" textlink="">
      <xdr:nvSpPr>
        <xdr:cNvPr id="45" name="流程图: 接点 44">
          <a:extLst>
            <a:ext uri="{FF2B5EF4-FFF2-40B4-BE49-F238E27FC236}">
              <a16:creationId xmlns:a16="http://schemas.microsoft.com/office/drawing/2014/main" id="{CB6DA820-459E-08C0-E455-86745B902974}"/>
            </a:ext>
          </a:extLst>
        </xdr:cNvPr>
        <xdr:cNvSpPr/>
      </xdr:nvSpPr>
      <xdr:spPr>
        <a:xfrm>
          <a:off x="1729740" y="7840980"/>
          <a:ext cx="510540" cy="42672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60</a:t>
          </a:r>
        </a:p>
      </xdr:txBody>
    </xdr:sp>
    <xdr:clientData/>
  </xdr:twoCellAnchor>
  <xdr:twoCellAnchor>
    <xdr:from>
      <xdr:col>3</xdr:col>
      <xdr:colOff>68580</xdr:colOff>
      <xdr:row>32</xdr:row>
      <xdr:rowOff>106680</xdr:rowOff>
    </xdr:from>
    <xdr:to>
      <xdr:col>4</xdr:col>
      <xdr:colOff>220980</xdr:colOff>
      <xdr:row>34</xdr:row>
      <xdr:rowOff>167640</xdr:rowOff>
    </xdr:to>
    <xdr:sp macro="" textlink="">
      <xdr:nvSpPr>
        <xdr:cNvPr id="46" name="流程图: 接点 45">
          <a:extLst>
            <a:ext uri="{FF2B5EF4-FFF2-40B4-BE49-F238E27FC236}">
              <a16:creationId xmlns:a16="http://schemas.microsoft.com/office/drawing/2014/main" id="{7BAFAFFC-FE58-5E61-7DB4-738859EF159B}"/>
            </a:ext>
          </a:extLst>
        </xdr:cNvPr>
        <xdr:cNvSpPr/>
      </xdr:nvSpPr>
      <xdr:spPr>
        <a:xfrm>
          <a:off x="1150620" y="8511540"/>
          <a:ext cx="518160" cy="42672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58</a:t>
          </a:r>
        </a:p>
      </xdr:txBody>
    </xdr:sp>
    <xdr:clientData/>
  </xdr:twoCellAnchor>
  <xdr:twoCellAnchor>
    <xdr:from>
      <xdr:col>1</xdr:col>
      <xdr:colOff>350520</xdr:colOff>
      <xdr:row>36</xdr:row>
      <xdr:rowOff>68580</xdr:rowOff>
    </xdr:from>
    <xdr:to>
      <xdr:col>3</xdr:col>
      <xdr:colOff>114300</xdr:colOff>
      <xdr:row>38</xdr:row>
      <xdr:rowOff>129540</xdr:rowOff>
    </xdr:to>
    <xdr:sp macro="" textlink="">
      <xdr:nvSpPr>
        <xdr:cNvPr id="47" name="流程图: 接点 46">
          <a:extLst>
            <a:ext uri="{FF2B5EF4-FFF2-40B4-BE49-F238E27FC236}">
              <a16:creationId xmlns:a16="http://schemas.microsoft.com/office/drawing/2014/main" id="{F06FF06B-A870-B4E4-FEEE-3DFBFABC57F3}"/>
            </a:ext>
          </a:extLst>
        </xdr:cNvPr>
        <xdr:cNvSpPr/>
      </xdr:nvSpPr>
      <xdr:spPr>
        <a:xfrm>
          <a:off x="701040" y="9204960"/>
          <a:ext cx="495300" cy="42672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63</a:t>
          </a:r>
        </a:p>
      </xdr:txBody>
    </xdr:sp>
    <xdr:clientData/>
  </xdr:twoCellAnchor>
  <xdr:twoCellAnchor>
    <xdr:from>
      <xdr:col>4</xdr:col>
      <xdr:colOff>274320</xdr:colOff>
      <xdr:row>36</xdr:row>
      <xdr:rowOff>76200</xdr:rowOff>
    </xdr:from>
    <xdr:to>
      <xdr:col>6</xdr:col>
      <xdr:colOff>38100</xdr:colOff>
      <xdr:row>38</xdr:row>
      <xdr:rowOff>137160</xdr:rowOff>
    </xdr:to>
    <xdr:sp macro="" textlink="">
      <xdr:nvSpPr>
        <xdr:cNvPr id="48" name="流程图: 接点 47">
          <a:extLst>
            <a:ext uri="{FF2B5EF4-FFF2-40B4-BE49-F238E27FC236}">
              <a16:creationId xmlns:a16="http://schemas.microsoft.com/office/drawing/2014/main" id="{C03D983B-1A20-6816-87AF-1A5D1796E237}"/>
            </a:ext>
          </a:extLst>
        </xdr:cNvPr>
        <xdr:cNvSpPr/>
      </xdr:nvSpPr>
      <xdr:spPr>
        <a:xfrm>
          <a:off x="1722120" y="9212580"/>
          <a:ext cx="510540" cy="42672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61</a:t>
          </a:r>
        </a:p>
      </xdr:txBody>
    </xdr:sp>
    <xdr:clientData/>
  </xdr:twoCellAnchor>
  <xdr:twoCellAnchor>
    <xdr:from>
      <xdr:col>10</xdr:col>
      <xdr:colOff>220980</xdr:colOff>
      <xdr:row>29</xdr:row>
      <xdr:rowOff>22860</xdr:rowOff>
    </xdr:from>
    <xdr:to>
      <xdr:col>12</xdr:col>
      <xdr:colOff>182880</xdr:colOff>
      <xdr:row>31</xdr:row>
      <xdr:rowOff>83820</xdr:rowOff>
    </xdr:to>
    <xdr:sp macro="" textlink="">
      <xdr:nvSpPr>
        <xdr:cNvPr id="49" name="流程图: 接点 48">
          <a:extLst>
            <a:ext uri="{FF2B5EF4-FFF2-40B4-BE49-F238E27FC236}">
              <a16:creationId xmlns:a16="http://schemas.microsoft.com/office/drawing/2014/main" id="{146B0F6E-9D1F-2154-52E5-30C42F30789D}"/>
            </a:ext>
          </a:extLst>
        </xdr:cNvPr>
        <xdr:cNvSpPr/>
      </xdr:nvSpPr>
      <xdr:spPr>
        <a:xfrm>
          <a:off x="3749040" y="7879080"/>
          <a:ext cx="502920" cy="42672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70</a:t>
          </a:r>
        </a:p>
      </xdr:txBody>
    </xdr:sp>
    <xdr:clientData/>
  </xdr:twoCellAnchor>
  <xdr:twoCellAnchor>
    <xdr:from>
      <xdr:col>13</xdr:col>
      <xdr:colOff>441960</xdr:colOff>
      <xdr:row>29</xdr:row>
      <xdr:rowOff>53340</xdr:rowOff>
    </xdr:from>
    <xdr:to>
      <xdr:col>14</xdr:col>
      <xdr:colOff>419100</xdr:colOff>
      <xdr:row>31</xdr:row>
      <xdr:rowOff>114300</xdr:rowOff>
    </xdr:to>
    <xdr:sp macro="" textlink="">
      <xdr:nvSpPr>
        <xdr:cNvPr id="50" name="流程图: 接点 49">
          <a:extLst>
            <a:ext uri="{FF2B5EF4-FFF2-40B4-BE49-F238E27FC236}">
              <a16:creationId xmlns:a16="http://schemas.microsoft.com/office/drawing/2014/main" id="{80273D77-7961-1E39-1A83-FD4987268B63}"/>
            </a:ext>
          </a:extLst>
        </xdr:cNvPr>
        <xdr:cNvSpPr/>
      </xdr:nvSpPr>
      <xdr:spPr>
        <a:xfrm>
          <a:off x="5204460" y="7711440"/>
          <a:ext cx="487680" cy="42672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50</a:t>
          </a:r>
        </a:p>
      </xdr:txBody>
    </xdr:sp>
    <xdr:clientData/>
  </xdr:twoCellAnchor>
  <xdr:twoCellAnchor>
    <xdr:from>
      <xdr:col>12</xdr:col>
      <xdr:colOff>297180</xdr:colOff>
      <xdr:row>32</xdr:row>
      <xdr:rowOff>137160</xdr:rowOff>
    </xdr:from>
    <xdr:to>
      <xdr:col>13</xdr:col>
      <xdr:colOff>297180</xdr:colOff>
      <xdr:row>35</xdr:row>
      <xdr:rowOff>15240</xdr:rowOff>
    </xdr:to>
    <xdr:sp macro="" textlink="">
      <xdr:nvSpPr>
        <xdr:cNvPr id="51" name="流程图: 接点 50">
          <a:extLst>
            <a:ext uri="{FF2B5EF4-FFF2-40B4-BE49-F238E27FC236}">
              <a16:creationId xmlns:a16="http://schemas.microsoft.com/office/drawing/2014/main" id="{A3AF76DD-254A-E0A0-0142-655C9FD2D3B7}"/>
            </a:ext>
          </a:extLst>
        </xdr:cNvPr>
        <xdr:cNvSpPr/>
      </xdr:nvSpPr>
      <xdr:spPr>
        <a:xfrm>
          <a:off x="4366260" y="8542020"/>
          <a:ext cx="495300" cy="42672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50</a:t>
          </a:r>
        </a:p>
      </xdr:txBody>
    </xdr:sp>
    <xdr:clientData/>
  </xdr:twoCellAnchor>
  <xdr:twoCellAnchor>
    <xdr:from>
      <xdr:col>10</xdr:col>
      <xdr:colOff>243840</xdr:colOff>
      <xdr:row>36</xdr:row>
      <xdr:rowOff>99060</xdr:rowOff>
    </xdr:from>
    <xdr:to>
      <xdr:col>12</xdr:col>
      <xdr:colOff>266700</xdr:colOff>
      <xdr:row>38</xdr:row>
      <xdr:rowOff>160020</xdr:rowOff>
    </xdr:to>
    <xdr:sp macro="" textlink="">
      <xdr:nvSpPr>
        <xdr:cNvPr id="52" name="流程图: 接点 51">
          <a:extLst>
            <a:ext uri="{FF2B5EF4-FFF2-40B4-BE49-F238E27FC236}">
              <a16:creationId xmlns:a16="http://schemas.microsoft.com/office/drawing/2014/main" id="{FF40E6CB-841F-176F-7459-FE463E27EC8A}"/>
            </a:ext>
          </a:extLst>
        </xdr:cNvPr>
        <xdr:cNvSpPr/>
      </xdr:nvSpPr>
      <xdr:spPr>
        <a:xfrm>
          <a:off x="3771900" y="9235440"/>
          <a:ext cx="563880" cy="42672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60</a:t>
          </a:r>
        </a:p>
      </xdr:txBody>
    </xdr:sp>
    <xdr:clientData/>
  </xdr:twoCellAnchor>
  <xdr:twoCellAnchor>
    <xdr:from>
      <xdr:col>13</xdr:col>
      <xdr:colOff>449580</xdr:colOff>
      <xdr:row>36</xdr:row>
      <xdr:rowOff>99060</xdr:rowOff>
    </xdr:from>
    <xdr:to>
      <xdr:col>14</xdr:col>
      <xdr:colOff>426720</xdr:colOff>
      <xdr:row>38</xdr:row>
      <xdr:rowOff>160020</xdr:rowOff>
    </xdr:to>
    <xdr:sp macro="" textlink="">
      <xdr:nvSpPr>
        <xdr:cNvPr id="53" name="流程图: 接点 52">
          <a:extLst>
            <a:ext uri="{FF2B5EF4-FFF2-40B4-BE49-F238E27FC236}">
              <a16:creationId xmlns:a16="http://schemas.microsoft.com/office/drawing/2014/main" id="{9C6997BC-B618-3EF3-46F4-3564E342DF3A}"/>
            </a:ext>
          </a:extLst>
        </xdr:cNvPr>
        <xdr:cNvSpPr/>
      </xdr:nvSpPr>
      <xdr:spPr>
        <a:xfrm>
          <a:off x="5212080" y="9037320"/>
          <a:ext cx="487680" cy="426720"/>
        </a:xfrm>
        <a:prstGeom prst="flowChartConnector">
          <a:avLst/>
        </a:prstGeom>
        <a:noFill/>
        <a:ln>
          <a:solidFill>
            <a:srgbClr val="FF0000"/>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200">
              <a:solidFill>
                <a:sysClr val="windowText" lastClr="000000"/>
              </a:solidFill>
            </a:rPr>
            <a:t>57</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255846</xdr:colOff>
      <xdr:row>22</xdr:row>
      <xdr:rowOff>33286</xdr:rowOff>
    </xdr:from>
    <xdr:to>
      <xdr:col>7</xdr:col>
      <xdr:colOff>654241</xdr:colOff>
      <xdr:row>36</xdr:row>
      <xdr:rowOff>76969</xdr:rowOff>
    </xdr:to>
    <xdr:graphicFrame macro="">
      <xdr:nvGraphicFramePr>
        <xdr:cNvPr id="5" name="图表 4">
          <a:extLst>
            <a:ext uri="{FF2B5EF4-FFF2-40B4-BE49-F238E27FC236}">
              <a16:creationId xmlns:a16="http://schemas.microsoft.com/office/drawing/2014/main" id="{A9387AC0-5FE7-91C9-76B4-B5114F2E9A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xdr:col>
      <xdr:colOff>22860</xdr:colOff>
      <xdr:row>26</xdr:row>
      <xdr:rowOff>106680</xdr:rowOff>
    </xdr:from>
    <xdr:to>
      <xdr:col>7</xdr:col>
      <xdr:colOff>7620</xdr:colOff>
      <xdr:row>38</xdr:row>
      <xdr:rowOff>259080</xdr:rowOff>
    </xdr:to>
    <xdr:graphicFrame macro="">
      <xdr:nvGraphicFramePr>
        <xdr:cNvPr id="4" name="图表 3">
          <a:extLst>
            <a:ext uri="{FF2B5EF4-FFF2-40B4-BE49-F238E27FC236}">
              <a16:creationId xmlns:a16="http://schemas.microsoft.com/office/drawing/2014/main" id="{479CBC6B-95F0-DFEE-423D-C4CE9F5330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213360</xdr:colOff>
      <xdr:row>19</xdr:row>
      <xdr:rowOff>0</xdr:rowOff>
    </xdr:from>
    <xdr:to>
      <xdr:col>8</xdr:col>
      <xdr:colOff>1093694</xdr:colOff>
      <xdr:row>29</xdr:row>
      <xdr:rowOff>266700</xdr:rowOff>
    </xdr:to>
    <xdr:graphicFrame macro="">
      <xdr:nvGraphicFramePr>
        <xdr:cNvPr id="2" name="图表 1">
          <a:extLst>
            <a:ext uri="{FF2B5EF4-FFF2-40B4-BE49-F238E27FC236}">
              <a16:creationId xmlns:a16="http://schemas.microsoft.com/office/drawing/2014/main" id="{64EDE9C3-D860-B050-6240-4CB9947C83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624840</xdr:colOff>
      <xdr:row>23</xdr:row>
      <xdr:rowOff>53340</xdr:rowOff>
    </xdr:from>
    <xdr:to>
      <xdr:col>6</xdr:col>
      <xdr:colOff>624840</xdr:colOff>
      <xdr:row>37</xdr:row>
      <xdr:rowOff>83820</xdr:rowOff>
    </xdr:to>
    <xdr:graphicFrame macro="">
      <xdr:nvGraphicFramePr>
        <xdr:cNvPr id="6" name="图表 5">
          <a:extLst>
            <a:ext uri="{FF2B5EF4-FFF2-40B4-BE49-F238E27FC236}">
              <a16:creationId xmlns:a16="http://schemas.microsoft.com/office/drawing/2014/main" id="{A8B4C73E-7A68-5354-B05B-E85BA4CAC2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8</xdr:col>
      <xdr:colOff>30480</xdr:colOff>
      <xdr:row>37</xdr:row>
      <xdr:rowOff>137160</xdr:rowOff>
    </xdr:from>
    <xdr:to>
      <xdr:col>8</xdr:col>
      <xdr:colOff>411480</xdr:colOff>
      <xdr:row>37</xdr:row>
      <xdr:rowOff>502920</xdr:rowOff>
    </xdr:to>
    <xdr:sp macro="" textlink="">
      <xdr:nvSpPr>
        <xdr:cNvPr id="2" name="Rectangle 1">
          <a:extLst>
            <a:ext uri="{FF2B5EF4-FFF2-40B4-BE49-F238E27FC236}">
              <a16:creationId xmlns:a16="http://schemas.microsoft.com/office/drawing/2014/main" id="{615EDB73-5D2B-4BDF-9A10-F68B28066B32}"/>
            </a:ext>
          </a:extLst>
        </xdr:cNvPr>
        <xdr:cNvSpPr>
          <a:spLocks noChangeArrowheads="1"/>
        </xdr:cNvSpPr>
      </xdr:nvSpPr>
      <xdr:spPr bwMode="auto">
        <a:xfrm>
          <a:off x="7741920" y="27546300"/>
          <a:ext cx="381000" cy="365760"/>
        </a:xfrm>
        <a:prstGeom prst="rect">
          <a:avLst/>
        </a:prstGeom>
        <a:solidFill>
          <a:srgbClr val="FFFFFF"/>
        </a:solidFill>
        <a:ln w="9360">
          <a:solidFill>
            <a:srgbClr val="000000"/>
          </a:solidFill>
          <a:miter lim="800000"/>
          <a:headEnd/>
          <a:tailEnd/>
        </a:ln>
      </xdr:spPr>
    </xdr:sp>
    <xdr:clientData/>
  </xdr:twoCellAnchor>
  <xdr:twoCellAnchor>
    <xdr:from>
      <xdr:col>8</xdr:col>
      <xdr:colOff>30480</xdr:colOff>
      <xdr:row>38</xdr:row>
      <xdr:rowOff>91440</xdr:rowOff>
    </xdr:from>
    <xdr:to>
      <xdr:col>8</xdr:col>
      <xdr:colOff>411480</xdr:colOff>
      <xdr:row>38</xdr:row>
      <xdr:rowOff>434340</xdr:rowOff>
    </xdr:to>
    <xdr:sp macro="" textlink="">
      <xdr:nvSpPr>
        <xdr:cNvPr id="3" name="Rectangle 2">
          <a:extLst>
            <a:ext uri="{FF2B5EF4-FFF2-40B4-BE49-F238E27FC236}">
              <a16:creationId xmlns:a16="http://schemas.microsoft.com/office/drawing/2014/main" id="{3CF86120-93CD-4D93-AAFB-519D62E7316A}"/>
            </a:ext>
          </a:extLst>
        </xdr:cNvPr>
        <xdr:cNvSpPr>
          <a:spLocks noChangeArrowheads="1"/>
        </xdr:cNvSpPr>
      </xdr:nvSpPr>
      <xdr:spPr bwMode="auto">
        <a:xfrm>
          <a:off x="7741920" y="28262580"/>
          <a:ext cx="381000" cy="342900"/>
        </a:xfrm>
        <a:prstGeom prst="rect">
          <a:avLst/>
        </a:prstGeom>
        <a:solidFill>
          <a:srgbClr val="FFFFFF"/>
        </a:solidFill>
        <a:ln w="9360">
          <a:solidFill>
            <a:srgbClr val="000000"/>
          </a:solidFill>
          <a:miter lim="800000"/>
          <a:headEnd/>
          <a:tailEnd/>
        </a:ln>
      </xdr:spPr>
    </xdr:sp>
    <xdr:clientData/>
  </xdr:twoCellAnchor>
  <xdr:twoCellAnchor>
    <xdr:from>
      <xdr:col>3</xdr:col>
      <xdr:colOff>45720</xdr:colOff>
      <xdr:row>37</xdr:row>
      <xdr:rowOff>106680</xdr:rowOff>
    </xdr:from>
    <xdr:to>
      <xdr:col>3</xdr:col>
      <xdr:colOff>419100</xdr:colOff>
      <xdr:row>37</xdr:row>
      <xdr:rowOff>518160</xdr:rowOff>
    </xdr:to>
    <xdr:sp macro="" textlink="">
      <xdr:nvSpPr>
        <xdr:cNvPr id="4" name="Rectangle 3">
          <a:extLst>
            <a:ext uri="{FF2B5EF4-FFF2-40B4-BE49-F238E27FC236}">
              <a16:creationId xmlns:a16="http://schemas.microsoft.com/office/drawing/2014/main" id="{AD8ECE08-8279-44CA-BB66-707B3AD746BB}"/>
            </a:ext>
          </a:extLst>
        </xdr:cNvPr>
        <xdr:cNvSpPr>
          <a:spLocks noChangeArrowheads="1"/>
        </xdr:cNvSpPr>
      </xdr:nvSpPr>
      <xdr:spPr bwMode="auto">
        <a:xfrm>
          <a:off x="2689860" y="27515820"/>
          <a:ext cx="373380" cy="411480"/>
        </a:xfrm>
        <a:prstGeom prst="rect">
          <a:avLst/>
        </a:prstGeom>
        <a:solidFill>
          <a:srgbClr val="FFFFFF"/>
        </a:solidFill>
        <a:ln w="9360">
          <a:solidFill>
            <a:srgbClr val="000000"/>
          </a:solidFill>
          <a:miter lim="800000"/>
          <a:headEnd/>
          <a:tailEnd/>
        </a:ln>
      </xdr:spPr>
    </xdr:sp>
    <xdr:clientData/>
  </xdr:twoCellAnchor>
  <xdr:twoCellAnchor>
    <xdr:from>
      <xdr:col>3</xdr:col>
      <xdr:colOff>45720</xdr:colOff>
      <xdr:row>38</xdr:row>
      <xdr:rowOff>129540</xdr:rowOff>
    </xdr:from>
    <xdr:to>
      <xdr:col>3</xdr:col>
      <xdr:colOff>396240</xdr:colOff>
      <xdr:row>38</xdr:row>
      <xdr:rowOff>510540</xdr:rowOff>
    </xdr:to>
    <xdr:sp macro="" textlink="">
      <xdr:nvSpPr>
        <xdr:cNvPr id="5" name="Rectangle 4">
          <a:extLst>
            <a:ext uri="{FF2B5EF4-FFF2-40B4-BE49-F238E27FC236}">
              <a16:creationId xmlns:a16="http://schemas.microsoft.com/office/drawing/2014/main" id="{43C479EA-47AF-4B36-9E9E-19D935D87CF4}"/>
            </a:ext>
          </a:extLst>
        </xdr:cNvPr>
        <xdr:cNvSpPr>
          <a:spLocks noChangeArrowheads="1"/>
        </xdr:cNvSpPr>
      </xdr:nvSpPr>
      <xdr:spPr bwMode="auto">
        <a:xfrm>
          <a:off x="2689860" y="28300680"/>
          <a:ext cx="350520" cy="381000"/>
        </a:xfrm>
        <a:prstGeom prst="rect">
          <a:avLst/>
        </a:prstGeom>
        <a:solidFill>
          <a:srgbClr val="FFFFFF"/>
        </a:solidFill>
        <a:ln w="9360">
          <a:solidFill>
            <a:srgbClr val="000000"/>
          </a:solidFill>
          <a:miter lim="800000"/>
          <a:headEnd/>
          <a:tailEnd/>
        </a:ln>
      </xdr:spPr>
    </xdr:sp>
    <xdr:clientData/>
  </xdr:twoCellAnchor>
  <xdr:twoCellAnchor>
    <xdr:from>
      <xdr:col>3</xdr:col>
      <xdr:colOff>22860</xdr:colOff>
      <xdr:row>39</xdr:row>
      <xdr:rowOff>137160</xdr:rowOff>
    </xdr:from>
    <xdr:to>
      <xdr:col>3</xdr:col>
      <xdr:colOff>373380</xdr:colOff>
      <xdr:row>39</xdr:row>
      <xdr:rowOff>502920</xdr:rowOff>
    </xdr:to>
    <xdr:sp macro="" textlink="">
      <xdr:nvSpPr>
        <xdr:cNvPr id="6" name="Rectangle 5">
          <a:extLst>
            <a:ext uri="{FF2B5EF4-FFF2-40B4-BE49-F238E27FC236}">
              <a16:creationId xmlns:a16="http://schemas.microsoft.com/office/drawing/2014/main" id="{8C38A2D4-01FE-4A67-A26F-43478F4BF85D}"/>
            </a:ext>
          </a:extLst>
        </xdr:cNvPr>
        <xdr:cNvSpPr>
          <a:spLocks noChangeArrowheads="1"/>
        </xdr:cNvSpPr>
      </xdr:nvSpPr>
      <xdr:spPr bwMode="auto">
        <a:xfrm>
          <a:off x="2667000" y="29070300"/>
          <a:ext cx="350520" cy="365760"/>
        </a:xfrm>
        <a:prstGeom prst="rect">
          <a:avLst/>
        </a:prstGeom>
        <a:solidFill>
          <a:srgbClr val="FFFFFF"/>
        </a:solidFill>
        <a:ln w="9360">
          <a:solidFill>
            <a:srgbClr val="000000"/>
          </a:solidFill>
          <a:miter lim="800000"/>
          <a:headEnd/>
          <a:tailEnd/>
        </a:ln>
      </xdr:spPr>
    </xdr:sp>
    <xdr:clientData/>
  </xdr:twoCellAnchor>
  <xdr:twoCellAnchor>
    <xdr:from>
      <xdr:col>0</xdr:col>
      <xdr:colOff>174171</xdr:colOff>
      <xdr:row>0</xdr:row>
      <xdr:rowOff>40821</xdr:rowOff>
    </xdr:from>
    <xdr:to>
      <xdr:col>1</xdr:col>
      <xdr:colOff>1111703</xdr:colOff>
      <xdr:row>1</xdr:row>
      <xdr:rowOff>193221</xdr:rowOff>
    </xdr:to>
    <xdr:pic>
      <xdr:nvPicPr>
        <xdr:cNvPr id="7" name="Graphics 1">
          <a:extLst>
            <a:ext uri="{FF2B5EF4-FFF2-40B4-BE49-F238E27FC236}">
              <a16:creationId xmlns:a16="http://schemas.microsoft.com/office/drawing/2014/main" id="{43F6BF8A-F65A-4D79-95B9-AF7C0C4E214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4171" y="40821"/>
          <a:ext cx="1318532" cy="12801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round/>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9</xdr:col>
      <xdr:colOff>107577</xdr:colOff>
      <xdr:row>66</xdr:row>
      <xdr:rowOff>125506</xdr:rowOff>
    </xdr:from>
    <xdr:to>
      <xdr:col>18</xdr:col>
      <xdr:colOff>320569</xdr:colOff>
      <xdr:row>88</xdr:row>
      <xdr:rowOff>171600</xdr:rowOff>
    </xdr:to>
    <xdr:pic>
      <xdr:nvPicPr>
        <xdr:cNvPr id="4" name="图片 3">
          <a:extLst>
            <a:ext uri="{FF2B5EF4-FFF2-40B4-BE49-F238E27FC236}">
              <a16:creationId xmlns:a16="http://schemas.microsoft.com/office/drawing/2014/main" id="{139F8BCF-C960-4F81-AF13-083BECA736B1}"/>
            </a:ext>
          </a:extLst>
        </xdr:cNvPr>
        <xdr:cNvPicPr>
          <a:picLocks noChangeAspect="1"/>
        </xdr:cNvPicPr>
      </xdr:nvPicPr>
      <xdr:blipFill>
        <a:blip xmlns:r="http://schemas.openxmlformats.org/officeDocument/2006/relationships" r:embed="rId1"/>
        <a:stretch>
          <a:fillRect/>
        </a:stretch>
      </xdr:blipFill>
      <xdr:spPr>
        <a:xfrm>
          <a:off x="6078071" y="13635318"/>
          <a:ext cx="5753180" cy="3990564"/>
        </a:xfrm>
        <a:prstGeom prst="rect">
          <a:avLst/>
        </a:prstGeom>
      </xdr:spPr>
    </xdr:pic>
    <xdr:clientData/>
  </xdr:twoCellAnchor>
  <xdr:twoCellAnchor editAs="oneCell">
    <xdr:from>
      <xdr:col>0</xdr:col>
      <xdr:colOff>0</xdr:colOff>
      <xdr:row>3</xdr:row>
      <xdr:rowOff>53788</xdr:rowOff>
    </xdr:from>
    <xdr:to>
      <xdr:col>9</xdr:col>
      <xdr:colOff>412377</xdr:colOff>
      <xdr:row>23</xdr:row>
      <xdr:rowOff>26894</xdr:rowOff>
    </xdr:to>
    <xdr:pic>
      <xdr:nvPicPr>
        <xdr:cNvPr id="6" name="圖片 4">
          <a:extLst>
            <a:ext uri="{FF2B5EF4-FFF2-40B4-BE49-F238E27FC236}">
              <a16:creationId xmlns:a16="http://schemas.microsoft.com/office/drawing/2014/main" id="{CD97B122-38B7-418D-B3DC-15BDEEA98020}"/>
            </a:ext>
          </a:extLst>
        </xdr:cNvPr>
        <xdr:cNvPicPr>
          <a:picLocks noChangeAspect="1"/>
        </xdr:cNvPicPr>
      </xdr:nvPicPr>
      <xdr:blipFill>
        <a:blip xmlns:r="http://schemas.openxmlformats.org/officeDocument/2006/relationships" r:embed="rId2"/>
        <a:stretch>
          <a:fillRect/>
        </a:stretch>
      </xdr:blipFill>
      <xdr:spPr>
        <a:xfrm>
          <a:off x="0" y="735106"/>
          <a:ext cx="6382871" cy="3558988"/>
        </a:xfrm>
        <a:prstGeom prst="rect">
          <a:avLst/>
        </a:prstGeom>
      </xdr:spPr>
    </xdr:pic>
    <xdr:clientData/>
  </xdr:twoCellAnchor>
  <xdr:twoCellAnchor editAs="oneCell">
    <xdr:from>
      <xdr:col>0</xdr:col>
      <xdr:colOff>358589</xdr:colOff>
      <xdr:row>29</xdr:row>
      <xdr:rowOff>62753</xdr:rowOff>
    </xdr:from>
    <xdr:to>
      <xdr:col>9</xdr:col>
      <xdr:colOff>180049</xdr:colOff>
      <xdr:row>46</xdr:row>
      <xdr:rowOff>655694</xdr:rowOff>
    </xdr:to>
    <xdr:pic>
      <xdr:nvPicPr>
        <xdr:cNvPr id="8" name="图片 7">
          <a:extLst>
            <a:ext uri="{FF2B5EF4-FFF2-40B4-BE49-F238E27FC236}">
              <a16:creationId xmlns:a16="http://schemas.microsoft.com/office/drawing/2014/main" id="{B0ECBF83-5A24-4659-B57C-F1D78F265EE8}"/>
            </a:ext>
          </a:extLst>
        </xdr:cNvPr>
        <xdr:cNvPicPr>
          <a:picLocks noChangeAspect="1"/>
        </xdr:cNvPicPr>
      </xdr:nvPicPr>
      <xdr:blipFill>
        <a:blip xmlns:r="http://schemas.openxmlformats.org/officeDocument/2006/relationships" r:embed="rId1"/>
        <a:stretch>
          <a:fillRect/>
        </a:stretch>
      </xdr:blipFill>
      <xdr:spPr>
        <a:xfrm>
          <a:off x="358589" y="5513294"/>
          <a:ext cx="5791954" cy="401745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ln w="38100">
          <a:solidFill>
            <a:srgbClr val="FF0000"/>
          </a:solidFill>
          <a:headEnd type="none"/>
          <a:tailEnd type="none"/>
        </a:ln>
      </a:spPr>
      <a:bodyPr/>
      <a:lstStyle/>
      <a:style>
        <a:lnRef idx="1">
          <a:schemeClr val="accent1"/>
        </a:lnRef>
        <a:fillRef idx="0">
          <a:schemeClr val="accent1"/>
        </a:fillRef>
        <a:effectRef idx="0">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0A9F3-916C-4D63-A0BA-67BC1BF2CA30}">
  <dimension ref="A1:O31"/>
  <sheetViews>
    <sheetView tabSelected="1" view="pageBreakPreview" zoomScaleNormal="100" zoomScaleSheetLayoutView="100" zoomScalePageLayoutView="85" workbookViewId="0">
      <selection sqref="A1:I1"/>
    </sheetView>
  </sheetViews>
  <sheetFormatPr defaultRowHeight="14.4" x14ac:dyDescent="0.3"/>
  <cols>
    <col min="1" max="2" width="22.88671875" customWidth="1"/>
    <col min="3" max="3" width="17.88671875" customWidth="1"/>
    <col min="4" max="4" width="20.109375" customWidth="1"/>
    <col min="5" max="5" width="19.77734375" customWidth="1"/>
    <col min="6" max="6" width="16.88671875" customWidth="1"/>
    <col min="7" max="7" width="18.21875" customWidth="1"/>
    <col min="8" max="8" width="17.21875" customWidth="1"/>
    <col min="9" max="9" width="0.21875" customWidth="1"/>
  </cols>
  <sheetData>
    <row r="1" spans="1:15" ht="92.4" customHeight="1" x14ac:dyDescent="0.3">
      <c r="A1" s="118" t="s">
        <v>401</v>
      </c>
      <c r="B1" s="119"/>
      <c r="C1" s="119"/>
      <c r="D1" s="119"/>
      <c r="E1" s="119"/>
      <c r="F1" s="119"/>
      <c r="G1" s="119"/>
      <c r="H1" s="119"/>
      <c r="I1" s="119"/>
      <c r="J1" s="113"/>
      <c r="K1" s="113"/>
      <c r="L1" s="113"/>
      <c r="M1" s="113"/>
      <c r="N1" s="113"/>
      <c r="O1" s="113"/>
    </row>
    <row r="2" spans="1:15" ht="61.2" customHeight="1" x14ac:dyDescent="0.3">
      <c r="A2" s="115" t="s">
        <v>388</v>
      </c>
      <c r="B2" s="115" t="s">
        <v>375</v>
      </c>
      <c r="C2" s="115" t="s">
        <v>376</v>
      </c>
      <c r="D2" s="115" t="s">
        <v>377</v>
      </c>
      <c r="E2" s="115" t="s">
        <v>378</v>
      </c>
      <c r="F2" s="115" t="s">
        <v>379</v>
      </c>
      <c r="G2" s="115" t="s">
        <v>380</v>
      </c>
      <c r="H2" s="115" t="s">
        <v>381</v>
      </c>
    </row>
    <row r="3" spans="1:15" ht="41.4" customHeight="1" x14ac:dyDescent="0.3">
      <c r="A3" s="115" t="s">
        <v>382</v>
      </c>
      <c r="B3" s="116"/>
      <c r="C3" s="116"/>
      <c r="D3" s="65" t="s">
        <v>386</v>
      </c>
      <c r="E3" s="116"/>
      <c r="F3" s="116"/>
      <c r="G3" s="116"/>
      <c r="H3" s="116"/>
    </row>
    <row r="4" spans="1:15" ht="54" customHeight="1" x14ac:dyDescent="0.3">
      <c r="A4" s="115" t="s">
        <v>383</v>
      </c>
      <c r="B4" s="116"/>
      <c r="C4" s="116"/>
      <c r="D4" s="65" t="s">
        <v>386</v>
      </c>
      <c r="E4" s="116"/>
      <c r="F4" s="116"/>
      <c r="G4" s="116"/>
      <c r="H4" s="116"/>
    </row>
    <row r="5" spans="1:15" ht="111" customHeight="1" x14ac:dyDescent="0.3">
      <c r="A5" s="115" t="s">
        <v>387</v>
      </c>
      <c r="B5" s="116"/>
      <c r="C5" s="116"/>
      <c r="D5" s="65" t="s">
        <v>386</v>
      </c>
      <c r="E5" s="116"/>
      <c r="F5" s="116"/>
      <c r="G5" s="117"/>
      <c r="H5" s="116"/>
    </row>
    <row r="6" spans="1:15" ht="54" customHeight="1" x14ac:dyDescent="0.3">
      <c r="A6" s="115" t="s">
        <v>384</v>
      </c>
      <c r="B6" s="116"/>
      <c r="C6" s="116"/>
      <c r="D6" s="65" t="s">
        <v>386</v>
      </c>
      <c r="E6" s="114"/>
      <c r="F6" s="116"/>
      <c r="G6" s="116"/>
      <c r="H6" s="116"/>
    </row>
    <row r="7" spans="1:15" ht="52.2" customHeight="1" x14ac:dyDescent="0.3">
      <c r="A7" s="115" t="s">
        <v>385</v>
      </c>
      <c r="B7" s="116"/>
      <c r="C7" s="116"/>
      <c r="D7" s="65" t="s">
        <v>386</v>
      </c>
      <c r="E7" s="116"/>
      <c r="F7" s="116"/>
      <c r="G7" s="116"/>
      <c r="H7" s="116"/>
    </row>
    <row r="8" spans="1:15" ht="54" customHeight="1" x14ac:dyDescent="0.3">
      <c r="A8" s="115" t="s">
        <v>374</v>
      </c>
      <c r="B8" s="116"/>
      <c r="C8" s="116"/>
      <c r="D8" s="65" t="s">
        <v>386</v>
      </c>
      <c r="E8" s="116"/>
      <c r="F8" s="116"/>
      <c r="G8" s="116"/>
      <c r="H8" s="116"/>
    </row>
    <row r="10" spans="1:15" ht="14.4" customHeight="1" x14ac:dyDescent="0.3">
      <c r="A10" s="120" t="s">
        <v>400</v>
      </c>
      <c r="B10" s="121"/>
      <c r="C10" s="121"/>
      <c r="D10" s="121"/>
      <c r="E10" s="121"/>
      <c r="F10" s="121"/>
      <c r="G10" s="121"/>
      <c r="H10" s="121"/>
    </row>
    <row r="11" spans="1:15" x14ac:dyDescent="0.3">
      <c r="A11" s="121"/>
      <c r="B11" s="121"/>
      <c r="C11" s="121"/>
      <c r="D11" s="121"/>
      <c r="E11" s="121"/>
      <c r="F11" s="121"/>
      <c r="G11" s="121"/>
      <c r="H11" s="121"/>
    </row>
    <row r="12" spans="1:15" x14ac:dyDescent="0.3">
      <c r="A12" s="121"/>
      <c r="B12" s="121"/>
      <c r="C12" s="121"/>
      <c r="D12" s="121"/>
      <c r="E12" s="121"/>
      <c r="F12" s="121"/>
      <c r="G12" s="121"/>
      <c r="H12" s="121"/>
    </row>
    <row r="13" spans="1:15" x14ac:dyDescent="0.3">
      <c r="A13" s="121"/>
      <c r="B13" s="121"/>
      <c r="C13" s="121"/>
      <c r="D13" s="121"/>
      <c r="E13" s="121"/>
      <c r="F13" s="121"/>
      <c r="G13" s="121"/>
      <c r="H13" s="121"/>
    </row>
    <row r="14" spans="1:15" x14ac:dyDescent="0.3">
      <c r="A14" s="121"/>
      <c r="B14" s="121"/>
      <c r="C14" s="121"/>
      <c r="D14" s="121"/>
      <c r="E14" s="121"/>
      <c r="F14" s="121"/>
      <c r="G14" s="121"/>
      <c r="H14" s="121"/>
    </row>
    <row r="15" spans="1:15" x14ac:dyDescent="0.3">
      <c r="A15" s="121"/>
      <c r="B15" s="121"/>
      <c r="C15" s="121"/>
      <c r="D15" s="121"/>
      <c r="E15" s="121"/>
      <c r="F15" s="121"/>
      <c r="G15" s="121"/>
      <c r="H15" s="121"/>
    </row>
    <row r="16" spans="1:15" x14ac:dyDescent="0.3">
      <c r="A16" s="121"/>
      <c r="B16" s="121"/>
      <c r="C16" s="121"/>
      <c r="D16" s="121"/>
      <c r="E16" s="121"/>
      <c r="F16" s="121"/>
      <c r="G16" s="121"/>
      <c r="H16" s="121"/>
    </row>
    <row r="17" spans="1:8" x14ac:dyDescent="0.3">
      <c r="A17" s="121"/>
      <c r="B17" s="121"/>
      <c r="C17" s="121"/>
      <c r="D17" s="121"/>
      <c r="E17" s="121"/>
      <c r="F17" s="121"/>
      <c r="G17" s="121"/>
      <c r="H17" s="121"/>
    </row>
    <row r="18" spans="1:8" x14ac:dyDescent="0.3">
      <c r="A18" s="121"/>
      <c r="B18" s="121"/>
      <c r="C18" s="121"/>
      <c r="D18" s="121"/>
      <c r="E18" s="121"/>
      <c r="F18" s="121"/>
      <c r="G18" s="121"/>
      <c r="H18" s="121"/>
    </row>
    <row r="19" spans="1:8" x14ac:dyDescent="0.3">
      <c r="A19" s="121"/>
      <c r="B19" s="121"/>
      <c r="C19" s="121"/>
      <c r="D19" s="121"/>
      <c r="E19" s="121"/>
      <c r="F19" s="121"/>
      <c r="G19" s="121"/>
      <c r="H19" s="121"/>
    </row>
    <row r="20" spans="1:8" ht="15.6" customHeight="1" x14ac:dyDescent="0.3">
      <c r="A20" s="121"/>
      <c r="B20" s="121"/>
      <c r="C20" s="121"/>
      <c r="D20" s="121"/>
      <c r="E20" s="121"/>
      <c r="F20" s="121"/>
      <c r="G20" s="121"/>
      <c r="H20" s="121"/>
    </row>
    <row r="21" spans="1:8" x14ac:dyDescent="0.3">
      <c r="A21" s="121"/>
      <c r="B21" s="121"/>
      <c r="C21" s="121"/>
      <c r="D21" s="121"/>
      <c r="E21" s="121"/>
      <c r="F21" s="121"/>
      <c r="G21" s="121"/>
      <c r="H21" s="121"/>
    </row>
    <row r="22" spans="1:8" x14ac:dyDescent="0.3">
      <c r="A22" s="121"/>
      <c r="B22" s="121"/>
      <c r="C22" s="121"/>
      <c r="D22" s="121"/>
      <c r="E22" s="121"/>
      <c r="F22" s="121"/>
      <c r="G22" s="121"/>
      <c r="H22" s="121"/>
    </row>
    <row r="23" spans="1:8" x14ac:dyDescent="0.3">
      <c r="A23" s="121"/>
      <c r="B23" s="121"/>
      <c r="C23" s="121"/>
      <c r="D23" s="121"/>
      <c r="E23" s="121"/>
      <c r="F23" s="121"/>
      <c r="G23" s="121"/>
      <c r="H23" s="121"/>
    </row>
    <row r="24" spans="1:8" x14ac:dyDescent="0.3">
      <c r="A24" s="121"/>
      <c r="B24" s="121"/>
      <c r="C24" s="121"/>
      <c r="D24" s="121"/>
      <c r="E24" s="121"/>
      <c r="F24" s="121"/>
      <c r="G24" s="121"/>
      <c r="H24" s="121"/>
    </row>
    <row r="25" spans="1:8" x14ac:dyDescent="0.3">
      <c r="A25" s="121"/>
      <c r="B25" s="121"/>
      <c r="C25" s="121"/>
      <c r="D25" s="121"/>
      <c r="E25" s="121"/>
      <c r="F25" s="121"/>
      <c r="G25" s="121"/>
      <c r="H25" s="121"/>
    </row>
    <row r="26" spans="1:8" x14ac:dyDescent="0.3">
      <c r="A26" s="121"/>
      <c r="B26" s="121"/>
      <c r="C26" s="121"/>
      <c r="D26" s="121"/>
      <c r="E26" s="121"/>
      <c r="F26" s="121"/>
      <c r="G26" s="121"/>
      <c r="H26" s="121"/>
    </row>
    <row r="27" spans="1:8" x14ac:dyDescent="0.3">
      <c r="A27" s="121"/>
      <c r="B27" s="121"/>
      <c r="C27" s="121"/>
      <c r="D27" s="121"/>
      <c r="E27" s="121"/>
      <c r="F27" s="121"/>
      <c r="G27" s="121"/>
      <c r="H27" s="121"/>
    </row>
    <row r="28" spans="1:8" x14ac:dyDescent="0.3">
      <c r="A28" s="121"/>
      <c r="B28" s="121"/>
      <c r="C28" s="121"/>
      <c r="D28" s="121"/>
      <c r="E28" s="121"/>
      <c r="F28" s="121"/>
      <c r="G28" s="121"/>
      <c r="H28" s="121"/>
    </row>
    <row r="29" spans="1:8" x14ac:dyDescent="0.3">
      <c r="A29" s="121"/>
      <c r="B29" s="121"/>
      <c r="C29" s="121"/>
      <c r="D29" s="121"/>
      <c r="E29" s="121"/>
      <c r="F29" s="121"/>
      <c r="G29" s="121"/>
      <c r="H29" s="121"/>
    </row>
    <row r="30" spans="1:8" x14ac:dyDescent="0.3">
      <c r="A30" s="121"/>
      <c r="B30" s="121"/>
      <c r="C30" s="121"/>
      <c r="D30" s="121"/>
      <c r="E30" s="121"/>
      <c r="F30" s="121"/>
      <c r="G30" s="121"/>
      <c r="H30" s="121"/>
    </row>
    <row r="31" spans="1:8" x14ac:dyDescent="0.3">
      <c r="A31" s="121"/>
      <c r="B31" s="121"/>
      <c r="C31" s="121"/>
      <c r="D31" s="121"/>
      <c r="E31" s="121"/>
      <c r="F31" s="121"/>
      <c r="G31" s="121"/>
      <c r="H31" s="121"/>
    </row>
  </sheetData>
  <mergeCells count="2">
    <mergeCell ref="A1:I1"/>
    <mergeCell ref="A10:H31"/>
  </mergeCells>
  <pageMargins left="0.7" right="0.7" top="0.75" bottom="0.75" header="0.3" footer="0.3"/>
  <pageSetup paperSize="9" scale="56"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10323-E91F-4D2C-AF7D-D3548C950126}">
  <dimension ref="A1:P50"/>
  <sheetViews>
    <sheetView showWhiteSpace="0" zoomScale="85" zoomScaleNormal="85" zoomScaleSheetLayoutView="115" zoomScalePageLayoutView="85" workbookViewId="0">
      <selection activeCell="E21" sqref="E21:F21"/>
    </sheetView>
  </sheetViews>
  <sheetFormatPr defaultRowHeight="14.4" x14ac:dyDescent="0.3"/>
  <cols>
    <col min="1" max="1" width="17" customWidth="1"/>
    <col min="2" max="2" width="13.6640625" customWidth="1"/>
    <col min="3" max="3" width="16.77734375" customWidth="1"/>
    <col min="4" max="4" width="15.6640625" customWidth="1"/>
    <col min="5" max="5" width="16.88671875" customWidth="1"/>
    <col min="6" max="6" width="18.44140625" customWidth="1"/>
    <col min="7" max="7" width="13.109375" customWidth="1"/>
    <col min="8" max="8" width="11.88671875" customWidth="1"/>
    <col min="9" max="10" width="12.33203125" customWidth="1"/>
    <col min="11" max="11" width="1.88671875" customWidth="1"/>
    <col min="12" max="12" width="16.77734375" customWidth="1"/>
    <col min="13" max="13" width="6.5546875" customWidth="1"/>
    <col min="14" max="14" width="14.44140625" customWidth="1"/>
  </cols>
  <sheetData>
    <row r="1" spans="1:12" ht="33" customHeight="1" x14ac:dyDescent="0.3">
      <c r="A1" s="169" t="s">
        <v>197</v>
      </c>
      <c r="B1" s="170"/>
      <c r="C1" s="170"/>
      <c r="D1" s="170"/>
      <c r="E1" s="170"/>
      <c r="F1" s="170"/>
      <c r="G1" s="170"/>
      <c r="H1" s="170"/>
      <c r="I1" s="170"/>
      <c r="J1" s="170"/>
      <c r="K1" s="170"/>
      <c r="L1" s="171"/>
    </row>
    <row r="2" spans="1:12" ht="7.2" customHeight="1" x14ac:dyDescent="0.3">
      <c r="A2" s="183"/>
      <c r="B2" s="184"/>
      <c r="C2" s="184"/>
      <c r="D2" s="184"/>
      <c r="E2" s="184"/>
      <c r="F2" s="184"/>
      <c r="G2" s="184"/>
      <c r="H2" s="184"/>
      <c r="I2" s="184"/>
      <c r="J2" s="184"/>
      <c r="K2" s="184"/>
      <c r="L2" s="185"/>
    </row>
    <row r="3" spans="1:12" s="30" customFormat="1" ht="19.2" customHeight="1" x14ac:dyDescent="0.3">
      <c r="A3" s="149" t="s">
        <v>220</v>
      </c>
      <c r="B3" s="150"/>
      <c r="C3" s="150"/>
      <c r="D3" s="150"/>
      <c r="E3" s="150"/>
      <c r="F3" s="150"/>
      <c r="G3" s="150"/>
      <c r="H3" s="150"/>
      <c r="I3" s="150"/>
      <c r="J3" s="150"/>
      <c r="K3" s="150"/>
      <c r="L3" s="151"/>
    </row>
    <row r="4" spans="1:12" s="30" customFormat="1" ht="25.8" customHeight="1" x14ac:dyDescent="0.3">
      <c r="A4" s="62" t="s">
        <v>16</v>
      </c>
      <c r="B4" s="140" t="s">
        <v>211</v>
      </c>
      <c r="C4" s="141"/>
      <c r="D4" s="81" t="s">
        <v>221</v>
      </c>
      <c r="E4" s="146"/>
      <c r="F4" s="146"/>
      <c r="G4" s="81" t="s">
        <v>222</v>
      </c>
      <c r="H4" s="67"/>
      <c r="I4" s="68"/>
      <c r="J4" s="81" t="s">
        <v>223</v>
      </c>
      <c r="K4" s="140"/>
      <c r="L4" s="141"/>
    </row>
    <row r="5" spans="1:12" s="30" customFormat="1" ht="29.4" customHeight="1" x14ac:dyDescent="0.3">
      <c r="A5" s="62" t="s">
        <v>187</v>
      </c>
      <c r="B5" s="139" t="s">
        <v>18</v>
      </c>
      <c r="C5" s="138"/>
      <c r="D5" s="139" t="s">
        <v>164</v>
      </c>
      <c r="E5" s="138"/>
      <c r="F5" s="94" t="s">
        <v>224</v>
      </c>
      <c r="G5" s="89" t="s">
        <v>225</v>
      </c>
      <c r="H5" s="89" t="s">
        <v>226</v>
      </c>
      <c r="I5" s="95" t="s">
        <v>366</v>
      </c>
      <c r="J5" s="177" t="s">
        <v>227</v>
      </c>
      <c r="K5" s="178"/>
      <c r="L5" s="141"/>
    </row>
    <row r="6" spans="1:12" s="30" customFormat="1" ht="38.4" customHeight="1" x14ac:dyDescent="0.3">
      <c r="A6" s="48">
        <v>370922001</v>
      </c>
      <c r="B6" s="172"/>
      <c r="C6" s="173"/>
      <c r="D6" s="174"/>
      <c r="E6" s="175"/>
      <c r="F6" s="91">
        <v>251</v>
      </c>
      <c r="G6" s="92"/>
      <c r="H6" s="181">
        <v>20</v>
      </c>
      <c r="I6" s="179">
        <f>F6+F7+H6</f>
        <v>493</v>
      </c>
      <c r="J6" s="172"/>
      <c r="K6" s="176"/>
      <c r="L6" s="173"/>
    </row>
    <row r="7" spans="1:12" s="30" customFormat="1" ht="42" customHeight="1" x14ac:dyDescent="0.3">
      <c r="A7" s="48">
        <v>370923001</v>
      </c>
      <c r="B7" s="174"/>
      <c r="C7" s="175"/>
      <c r="D7" s="172"/>
      <c r="E7" s="173"/>
      <c r="F7" s="91">
        <v>222</v>
      </c>
      <c r="G7" s="92"/>
      <c r="H7" s="182"/>
      <c r="I7" s="180"/>
      <c r="J7" s="172"/>
      <c r="K7" s="176"/>
      <c r="L7" s="173"/>
    </row>
    <row r="8" spans="1:12" s="30" customFormat="1" ht="17.399999999999999" customHeight="1" x14ac:dyDescent="0.3">
      <c r="A8" s="149" t="s">
        <v>228</v>
      </c>
      <c r="B8" s="150"/>
      <c r="C8" s="150"/>
      <c r="D8" s="150"/>
      <c r="E8" s="150"/>
      <c r="F8" s="150"/>
      <c r="G8" s="150"/>
      <c r="H8" s="150"/>
      <c r="I8" s="150"/>
      <c r="J8" s="150"/>
      <c r="K8" s="150"/>
      <c r="L8" s="151"/>
    </row>
    <row r="9" spans="1:12" s="30" customFormat="1" ht="22.8" customHeight="1" x14ac:dyDescent="0.3">
      <c r="A9" s="62" t="s">
        <v>229</v>
      </c>
      <c r="B9" s="146" t="s">
        <v>209</v>
      </c>
      <c r="C9" s="146"/>
      <c r="D9" s="61" t="s">
        <v>230</v>
      </c>
      <c r="E9" s="140" t="s">
        <v>367</v>
      </c>
      <c r="F9" s="141"/>
      <c r="G9" s="62" t="s">
        <v>17</v>
      </c>
      <c r="H9" s="140" t="s">
        <v>213</v>
      </c>
      <c r="I9" s="141"/>
      <c r="J9" s="61" t="s">
        <v>231</v>
      </c>
      <c r="K9" s="146">
        <v>55</v>
      </c>
      <c r="L9" s="146"/>
    </row>
    <row r="10" spans="1:12" s="30" customFormat="1" ht="12" customHeight="1" x14ac:dyDescent="0.3">
      <c r="A10" s="152" t="s">
        <v>232</v>
      </c>
      <c r="B10" s="153"/>
      <c r="C10" s="153"/>
      <c r="D10" s="153"/>
      <c r="E10" s="153"/>
      <c r="F10" s="153"/>
      <c r="G10" s="153"/>
      <c r="H10" s="153"/>
      <c r="I10" s="153"/>
      <c r="J10" s="153"/>
      <c r="K10" s="153"/>
      <c r="L10" s="154"/>
    </row>
    <row r="11" spans="1:12" s="30" customFormat="1" ht="12" customHeight="1" x14ac:dyDescent="0.3">
      <c r="A11" s="149"/>
      <c r="B11" s="150"/>
      <c r="C11" s="150"/>
      <c r="D11" s="150"/>
      <c r="E11" s="150"/>
      <c r="F11" s="150"/>
      <c r="G11" s="150"/>
      <c r="H11" s="150"/>
      <c r="I11" s="150"/>
      <c r="J11" s="150"/>
      <c r="K11" s="150"/>
      <c r="L11" s="151"/>
    </row>
    <row r="12" spans="1:12" s="30" customFormat="1" ht="33" customHeight="1" x14ac:dyDescent="0.3">
      <c r="A12" s="61" t="s">
        <v>233</v>
      </c>
      <c r="B12" s="139" t="s">
        <v>234</v>
      </c>
      <c r="C12" s="138"/>
      <c r="D12" s="132" t="s">
        <v>235</v>
      </c>
      <c r="E12" s="133"/>
      <c r="F12" s="137" t="s">
        <v>369</v>
      </c>
      <c r="G12" s="138"/>
      <c r="H12" s="137" t="s">
        <v>236</v>
      </c>
      <c r="I12" s="138"/>
      <c r="J12" s="132" t="s">
        <v>237</v>
      </c>
      <c r="K12" s="133"/>
      <c r="L12" s="133"/>
    </row>
    <row r="13" spans="1:12" s="30" customFormat="1" ht="21.6" customHeight="1" x14ac:dyDescent="0.3">
      <c r="A13" s="48" t="s">
        <v>206</v>
      </c>
      <c r="B13" s="140" t="s">
        <v>210</v>
      </c>
      <c r="C13" s="141"/>
      <c r="D13" s="140"/>
      <c r="E13" s="141"/>
      <c r="F13" s="140" t="s">
        <v>198</v>
      </c>
      <c r="G13" s="141"/>
      <c r="H13" s="140">
        <v>1.35</v>
      </c>
      <c r="I13" s="141"/>
      <c r="J13" s="167"/>
      <c r="K13" s="167"/>
      <c r="L13" s="167"/>
    </row>
    <row r="14" spans="1:12" s="30" customFormat="1" ht="36.6" customHeight="1" x14ac:dyDescent="0.3">
      <c r="A14" s="61" t="s">
        <v>240</v>
      </c>
      <c r="B14" s="132" t="s">
        <v>238</v>
      </c>
      <c r="C14" s="132"/>
      <c r="D14" s="137" t="s">
        <v>239</v>
      </c>
      <c r="E14" s="143"/>
      <c r="F14" s="132" t="s">
        <v>241</v>
      </c>
      <c r="G14" s="132"/>
      <c r="H14" s="143" t="s">
        <v>242</v>
      </c>
      <c r="I14" s="142"/>
      <c r="J14" s="137" t="s">
        <v>243</v>
      </c>
      <c r="K14" s="191"/>
      <c r="L14" s="138"/>
    </row>
    <row r="15" spans="1:12" s="30" customFormat="1" ht="21" customHeight="1" x14ac:dyDescent="0.3">
      <c r="A15" s="90"/>
      <c r="B15" s="168"/>
      <c r="C15" s="168"/>
      <c r="D15" s="168"/>
      <c r="E15" s="168"/>
      <c r="F15" s="168"/>
      <c r="G15" s="168"/>
      <c r="H15" s="186"/>
      <c r="I15" s="186"/>
      <c r="J15" s="192"/>
      <c r="K15" s="193"/>
      <c r="L15" s="194"/>
    </row>
    <row r="16" spans="1:12" s="30" customFormat="1" ht="12" customHeight="1" x14ac:dyDescent="0.3">
      <c r="A16" s="152" t="s">
        <v>244</v>
      </c>
      <c r="B16" s="153"/>
      <c r="C16" s="153"/>
      <c r="D16" s="153"/>
      <c r="E16" s="153"/>
      <c r="F16" s="153"/>
      <c r="G16" s="153"/>
      <c r="H16" s="153"/>
      <c r="I16" s="153"/>
      <c r="J16" s="153"/>
      <c r="K16" s="153"/>
      <c r="L16" s="154"/>
    </row>
    <row r="17" spans="1:12" s="30" customFormat="1" ht="12" customHeight="1" x14ac:dyDescent="0.3">
      <c r="A17" s="149"/>
      <c r="B17" s="150"/>
      <c r="C17" s="150"/>
      <c r="D17" s="150"/>
      <c r="E17" s="150"/>
      <c r="F17" s="150"/>
      <c r="G17" s="150"/>
      <c r="H17" s="150"/>
      <c r="I17" s="150"/>
      <c r="J17" s="150"/>
      <c r="K17" s="150"/>
      <c r="L17" s="151"/>
    </row>
    <row r="18" spans="1:12" s="30" customFormat="1" ht="46.8" customHeight="1" x14ac:dyDescent="0.3">
      <c r="A18" s="61" t="s">
        <v>245</v>
      </c>
      <c r="B18" s="81" t="s">
        <v>233</v>
      </c>
      <c r="C18" s="81" t="s">
        <v>246</v>
      </c>
      <c r="D18" s="61" t="s">
        <v>247</v>
      </c>
      <c r="E18" s="61" t="s">
        <v>248</v>
      </c>
      <c r="F18" s="61" t="s">
        <v>249</v>
      </c>
      <c r="G18" s="137" t="s">
        <v>250</v>
      </c>
      <c r="H18" s="142"/>
      <c r="I18" s="137" t="s">
        <v>251</v>
      </c>
      <c r="J18" s="138"/>
      <c r="K18" s="132" t="s">
        <v>252</v>
      </c>
      <c r="L18" s="132"/>
    </row>
    <row r="19" spans="1:12" s="30" customFormat="1" ht="24.6" customHeight="1" x14ac:dyDescent="0.3">
      <c r="A19" s="48" t="s">
        <v>208</v>
      </c>
      <c r="B19" s="64" t="s">
        <v>199</v>
      </c>
      <c r="C19" s="48" t="s">
        <v>207</v>
      </c>
      <c r="D19" s="63">
        <v>280</v>
      </c>
      <c r="E19" s="63">
        <v>60</v>
      </c>
      <c r="F19" s="48">
        <v>165</v>
      </c>
      <c r="G19" s="140">
        <v>165</v>
      </c>
      <c r="H19" s="141"/>
      <c r="I19" s="140">
        <v>200</v>
      </c>
      <c r="J19" s="141"/>
      <c r="K19" s="146">
        <v>200</v>
      </c>
      <c r="L19" s="146"/>
    </row>
    <row r="20" spans="1:12" s="30" customFormat="1" ht="59.4" customHeight="1" x14ac:dyDescent="0.3">
      <c r="A20" s="187" t="s">
        <v>253</v>
      </c>
      <c r="B20" s="188"/>
      <c r="C20" s="187" t="s">
        <v>258</v>
      </c>
      <c r="D20" s="188"/>
      <c r="E20" s="137" t="s">
        <v>372</v>
      </c>
      <c r="F20" s="138"/>
      <c r="G20" s="132" t="s">
        <v>254</v>
      </c>
      <c r="H20" s="132"/>
      <c r="I20" s="137" t="s">
        <v>255</v>
      </c>
      <c r="J20" s="142"/>
      <c r="K20" s="137" t="s">
        <v>256</v>
      </c>
      <c r="L20" s="142"/>
    </row>
    <row r="21" spans="1:12" s="30" customFormat="1" ht="23.4" customHeight="1" x14ac:dyDescent="0.3">
      <c r="A21" s="168">
        <f>F19/G19*10</f>
        <v>10</v>
      </c>
      <c r="B21" s="168"/>
      <c r="C21" s="197">
        <f>((E19^2/4)*3.14*K19/1000*H13)/I6/60*K9</f>
        <v>1.4187322515212986</v>
      </c>
      <c r="D21" s="198"/>
      <c r="E21" s="189">
        <f>I6/((E19^2/4)*3.14*K19*H13/1000)*1.15</f>
        <v>0.74303425860396832</v>
      </c>
      <c r="F21" s="189"/>
      <c r="G21" s="190"/>
      <c r="H21" s="190"/>
      <c r="I21" s="140"/>
      <c r="J21" s="141"/>
      <c r="K21" s="195"/>
      <c r="L21" s="196"/>
    </row>
    <row r="22" spans="1:12" s="30" customFormat="1" ht="12" customHeight="1" x14ac:dyDescent="0.3">
      <c r="A22" s="155" t="s">
        <v>257</v>
      </c>
      <c r="B22" s="156"/>
      <c r="C22" s="156"/>
      <c r="D22" s="156"/>
      <c r="E22" s="156"/>
      <c r="F22" s="156"/>
      <c r="G22" s="156"/>
      <c r="H22" s="156"/>
      <c r="I22" s="156"/>
      <c r="J22" s="156"/>
      <c r="K22" s="156"/>
      <c r="L22" s="157"/>
    </row>
    <row r="23" spans="1:12" s="30" customFormat="1" ht="18" customHeight="1" x14ac:dyDescent="0.3">
      <c r="A23" s="158"/>
      <c r="B23" s="159"/>
      <c r="C23" s="159"/>
      <c r="D23" s="159"/>
      <c r="E23" s="159"/>
      <c r="F23" s="159"/>
      <c r="G23" s="159"/>
      <c r="H23" s="159"/>
      <c r="I23" s="159"/>
      <c r="J23" s="159"/>
      <c r="K23" s="159"/>
      <c r="L23" s="160"/>
    </row>
    <row r="24" spans="1:12" s="30" customFormat="1" ht="27" customHeight="1" x14ac:dyDescent="0.3">
      <c r="A24" s="161" t="s">
        <v>259</v>
      </c>
      <c r="B24" s="162"/>
      <c r="C24" s="163"/>
      <c r="D24" s="164" t="s">
        <v>373</v>
      </c>
      <c r="E24" s="162"/>
      <c r="F24" s="162"/>
      <c r="G24" s="165" t="s">
        <v>260</v>
      </c>
      <c r="H24" s="165"/>
      <c r="I24" s="165"/>
      <c r="J24" s="165"/>
      <c r="K24" s="165"/>
      <c r="L24" s="165"/>
    </row>
    <row r="25" spans="1:12" s="30" customFormat="1" ht="39.6" customHeight="1" x14ac:dyDescent="0.3">
      <c r="A25" s="122" t="s">
        <v>166</v>
      </c>
      <c r="B25" s="123"/>
      <c r="C25" s="124"/>
      <c r="D25" s="128" t="s">
        <v>177</v>
      </c>
      <c r="E25" s="129"/>
      <c r="F25" s="130"/>
      <c r="G25" s="166" t="s">
        <v>261</v>
      </c>
      <c r="H25" s="166"/>
      <c r="I25" s="166"/>
      <c r="J25" s="166"/>
      <c r="K25" s="166"/>
      <c r="L25" s="166"/>
    </row>
    <row r="26" spans="1:12" s="30" customFormat="1" ht="30.6" customHeight="1" x14ac:dyDescent="0.3">
      <c r="A26" s="122" t="s">
        <v>167</v>
      </c>
      <c r="B26" s="123"/>
      <c r="C26" s="124"/>
      <c r="D26" s="128" t="s">
        <v>177</v>
      </c>
      <c r="E26" s="129"/>
      <c r="F26" s="130"/>
      <c r="G26" s="125" t="s">
        <v>262</v>
      </c>
      <c r="H26" s="126"/>
      <c r="I26" s="126"/>
      <c r="J26" s="126"/>
      <c r="K26" s="126"/>
      <c r="L26" s="127"/>
    </row>
    <row r="27" spans="1:12" s="30" customFormat="1" ht="39" customHeight="1" x14ac:dyDescent="0.3">
      <c r="A27" s="122" t="s">
        <v>168</v>
      </c>
      <c r="B27" s="123"/>
      <c r="C27" s="124"/>
      <c r="D27" s="128" t="s">
        <v>178</v>
      </c>
      <c r="E27" s="129"/>
      <c r="F27" s="130"/>
      <c r="G27" s="125" t="s">
        <v>263</v>
      </c>
      <c r="H27" s="126"/>
      <c r="I27" s="126"/>
      <c r="J27" s="126"/>
      <c r="K27" s="126"/>
      <c r="L27" s="127"/>
    </row>
    <row r="28" spans="1:12" s="30" customFormat="1" ht="41.4" customHeight="1" x14ac:dyDescent="0.3">
      <c r="A28" s="122" t="s">
        <v>169</v>
      </c>
      <c r="B28" s="123"/>
      <c r="C28" s="124"/>
      <c r="D28" s="128" t="s">
        <v>179</v>
      </c>
      <c r="E28" s="129"/>
      <c r="F28" s="130"/>
      <c r="G28" s="125" t="s">
        <v>264</v>
      </c>
      <c r="H28" s="126"/>
      <c r="I28" s="126"/>
      <c r="J28" s="126"/>
      <c r="K28" s="126"/>
      <c r="L28" s="127"/>
    </row>
    <row r="29" spans="1:12" s="30" customFormat="1" ht="49.8" customHeight="1" x14ac:dyDescent="0.3">
      <c r="A29" s="122" t="s">
        <v>170</v>
      </c>
      <c r="B29" s="123"/>
      <c r="C29" s="124"/>
      <c r="D29" s="128" t="s">
        <v>180</v>
      </c>
      <c r="E29" s="129"/>
      <c r="F29" s="130"/>
      <c r="G29" s="125" t="s">
        <v>265</v>
      </c>
      <c r="H29" s="126"/>
      <c r="I29" s="126"/>
      <c r="J29" s="126"/>
      <c r="K29" s="126"/>
      <c r="L29" s="127"/>
    </row>
    <row r="30" spans="1:12" s="30" customFormat="1" ht="43.2" customHeight="1" x14ac:dyDescent="0.3">
      <c r="A30" s="122" t="s">
        <v>171</v>
      </c>
      <c r="B30" s="123"/>
      <c r="C30" s="124"/>
      <c r="D30" s="128" t="s">
        <v>181</v>
      </c>
      <c r="E30" s="129"/>
      <c r="F30" s="130"/>
      <c r="G30" s="125" t="s">
        <v>266</v>
      </c>
      <c r="H30" s="126"/>
      <c r="I30" s="126"/>
      <c r="J30" s="126"/>
      <c r="K30" s="126"/>
      <c r="L30" s="127"/>
    </row>
    <row r="31" spans="1:12" s="30" customFormat="1" ht="42.6" customHeight="1" x14ac:dyDescent="0.3">
      <c r="A31" s="122" t="s">
        <v>172</v>
      </c>
      <c r="B31" s="123"/>
      <c r="C31" s="124"/>
      <c r="D31" s="128" t="s">
        <v>182</v>
      </c>
      <c r="E31" s="129"/>
      <c r="F31" s="130"/>
      <c r="G31" s="125" t="s">
        <v>267</v>
      </c>
      <c r="H31" s="126"/>
      <c r="I31" s="126"/>
      <c r="J31" s="126"/>
      <c r="K31" s="126"/>
      <c r="L31" s="127"/>
    </row>
    <row r="32" spans="1:12" s="30" customFormat="1" ht="32.4" customHeight="1" x14ac:dyDescent="0.3">
      <c r="A32" s="122" t="s">
        <v>173</v>
      </c>
      <c r="B32" s="123"/>
      <c r="C32" s="124"/>
      <c r="D32" s="128" t="s">
        <v>182</v>
      </c>
      <c r="E32" s="129"/>
      <c r="F32" s="130"/>
      <c r="G32" s="125" t="s">
        <v>268</v>
      </c>
      <c r="H32" s="126"/>
      <c r="I32" s="126"/>
      <c r="J32" s="126"/>
      <c r="K32" s="126"/>
      <c r="L32" s="127"/>
    </row>
    <row r="33" spans="1:16" s="30" customFormat="1" ht="33.6" customHeight="1" x14ac:dyDescent="0.3">
      <c r="A33" s="122" t="s">
        <v>174</v>
      </c>
      <c r="B33" s="123"/>
      <c r="C33" s="124"/>
      <c r="D33" s="128" t="s">
        <v>183</v>
      </c>
      <c r="E33" s="129"/>
      <c r="F33" s="130"/>
      <c r="G33" s="125" t="s">
        <v>269</v>
      </c>
      <c r="H33" s="126"/>
      <c r="I33" s="126"/>
      <c r="J33" s="126"/>
      <c r="K33" s="126"/>
      <c r="L33" s="127"/>
    </row>
    <row r="34" spans="1:16" s="30" customFormat="1" ht="40.200000000000003" customHeight="1" x14ac:dyDescent="0.3">
      <c r="A34" s="122" t="s">
        <v>175</v>
      </c>
      <c r="B34" s="123"/>
      <c r="C34" s="124"/>
      <c r="D34" s="128" t="s">
        <v>181</v>
      </c>
      <c r="E34" s="129"/>
      <c r="F34" s="130"/>
      <c r="G34" s="125" t="s">
        <v>270</v>
      </c>
      <c r="H34" s="126"/>
      <c r="I34" s="126"/>
      <c r="J34" s="126"/>
      <c r="K34" s="126"/>
      <c r="L34" s="127"/>
    </row>
    <row r="35" spans="1:16" s="30" customFormat="1" ht="40.799999999999997" customHeight="1" x14ac:dyDescent="0.35">
      <c r="A35" s="122" t="s">
        <v>176</v>
      </c>
      <c r="B35" s="123"/>
      <c r="C35" s="124"/>
      <c r="D35" s="128" t="s">
        <v>184</v>
      </c>
      <c r="E35" s="129"/>
      <c r="F35" s="130"/>
      <c r="G35" s="125" t="s">
        <v>271</v>
      </c>
      <c r="H35" s="126"/>
      <c r="I35" s="126"/>
      <c r="J35" s="126"/>
      <c r="K35" s="126"/>
      <c r="L35" s="127"/>
      <c r="P35" s="58"/>
    </row>
    <row r="36" spans="1:16" s="30" customFormat="1" ht="23.4" customHeight="1" x14ac:dyDescent="0.3">
      <c r="A36" s="147" t="s">
        <v>368</v>
      </c>
      <c r="B36" s="148"/>
      <c r="C36" s="148"/>
      <c r="D36" s="148"/>
      <c r="E36" s="148"/>
      <c r="F36" s="148"/>
      <c r="G36" s="148"/>
      <c r="H36" s="148"/>
      <c r="I36" s="148"/>
      <c r="J36" s="148"/>
      <c r="K36" s="148"/>
      <c r="L36" s="148"/>
    </row>
    <row r="37" spans="1:16" s="30" customFormat="1" ht="16.2" customHeight="1" x14ac:dyDescent="0.3">
      <c r="A37" s="49"/>
      <c r="B37" s="50"/>
      <c r="C37" s="50"/>
      <c r="D37" s="50"/>
      <c r="E37" s="50"/>
      <c r="F37" s="50"/>
      <c r="G37" s="50"/>
      <c r="H37" s="50"/>
      <c r="I37" s="50"/>
      <c r="J37" s="50"/>
      <c r="K37" s="50"/>
      <c r="L37" s="51"/>
    </row>
    <row r="38" spans="1:16" s="30" customFormat="1" ht="12" customHeight="1" x14ac:dyDescent="0.3">
      <c r="B38" s="50"/>
      <c r="C38" s="50"/>
      <c r="D38" s="50"/>
      <c r="E38" s="50"/>
      <c r="F38" s="50"/>
      <c r="G38" s="50"/>
      <c r="H38" s="50"/>
      <c r="I38" s="50"/>
      <c r="J38" s="50"/>
      <c r="K38" s="50"/>
      <c r="L38" s="51"/>
    </row>
    <row r="39" spans="1:16" s="30" customFormat="1" ht="12" customHeight="1" x14ac:dyDescent="0.3">
      <c r="A39" s="49"/>
      <c r="B39" s="50"/>
      <c r="C39" s="50"/>
      <c r="D39" s="50"/>
      <c r="E39" s="50"/>
      <c r="F39" s="50"/>
      <c r="G39" s="50"/>
      <c r="H39" s="52"/>
      <c r="I39" s="50"/>
      <c r="J39" s="50"/>
      <c r="K39" s="50"/>
      <c r="L39" s="51"/>
    </row>
    <row r="40" spans="1:16" s="30" customFormat="1" ht="12" customHeight="1" x14ac:dyDescent="0.3">
      <c r="A40" s="49"/>
      <c r="B40" s="50"/>
      <c r="C40" s="50"/>
      <c r="D40" s="50"/>
      <c r="E40" s="50"/>
      <c r="F40" s="50"/>
      <c r="G40" s="50"/>
      <c r="H40" s="50"/>
      <c r="I40" s="50"/>
      <c r="J40" s="50"/>
      <c r="K40" s="50"/>
      <c r="L40" s="51"/>
    </row>
    <row r="41" spans="1:16" s="30" customFormat="1" ht="12" customHeight="1" x14ac:dyDescent="0.3">
      <c r="A41" s="49"/>
      <c r="B41" s="50"/>
      <c r="C41" s="50"/>
      <c r="D41" s="50"/>
      <c r="E41" s="50"/>
      <c r="F41" s="50"/>
      <c r="G41" s="50"/>
      <c r="H41" s="50"/>
      <c r="I41" s="50"/>
      <c r="J41" s="50"/>
      <c r="K41" s="50"/>
      <c r="L41" s="51"/>
    </row>
    <row r="42" spans="1:16" s="30" customFormat="1" ht="12" customHeight="1" x14ac:dyDescent="0.3">
      <c r="A42" s="49"/>
      <c r="B42" s="50"/>
      <c r="C42" s="50"/>
      <c r="D42" s="50"/>
      <c r="E42" s="50"/>
      <c r="F42" s="50"/>
      <c r="G42" s="50"/>
      <c r="H42" s="50"/>
      <c r="I42" s="52"/>
      <c r="J42" s="50"/>
      <c r="K42" s="50"/>
      <c r="L42" s="51"/>
    </row>
    <row r="43" spans="1:16" s="30" customFormat="1" ht="133.19999999999999" customHeight="1" x14ac:dyDescent="0.3">
      <c r="A43" s="49"/>
      <c r="B43" s="50"/>
      <c r="C43" s="50"/>
      <c r="D43" s="50"/>
      <c r="F43" s="50"/>
      <c r="G43" s="50"/>
      <c r="H43" s="50"/>
      <c r="I43" s="50"/>
      <c r="J43" s="50"/>
      <c r="K43" s="50"/>
      <c r="L43" s="51"/>
    </row>
    <row r="44" spans="1:16" s="30" customFormat="1" ht="27" customHeight="1" x14ac:dyDescent="0.3">
      <c r="A44" s="134" t="s">
        <v>165</v>
      </c>
      <c r="B44" s="135"/>
      <c r="C44" s="135"/>
      <c r="D44" s="135"/>
      <c r="E44" s="135"/>
      <c r="F44" s="135"/>
      <c r="G44" s="135"/>
      <c r="H44" s="135"/>
      <c r="I44" s="135"/>
      <c r="J44" s="135"/>
      <c r="K44" s="135"/>
      <c r="L44" s="136"/>
    </row>
    <row r="45" spans="1:16" s="30" customFormat="1" ht="30.6" customHeight="1" x14ac:dyDescent="0.3">
      <c r="A45" s="132" t="s">
        <v>279</v>
      </c>
      <c r="B45" s="133"/>
      <c r="C45" s="131" t="s">
        <v>278</v>
      </c>
      <c r="D45" s="132" t="s">
        <v>273</v>
      </c>
      <c r="E45" s="137" t="s">
        <v>274</v>
      </c>
      <c r="F45" s="138"/>
      <c r="G45" s="137" t="s">
        <v>275</v>
      </c>
      <c r="H45" s="142"/>
      <c r="I45" s="137" t="s">
        <v>276</v>
      </c>
      <c r="J45" s="143"/>
      <c r="K45" s="132" t="s">
        <v>227</v>
      </c>
      <c r="L45" s="132"/>
      <c r="M45" s="31"/>
    </row>
    <row r="46" spans="1:16" s="30" customFormat="1" ht="31.2" customHeight="1" x14ac:dyDescent="0.3">
      <c r="A46" s="61" t="s">
        <v>272</v>
      </c>
      <c r="B46" s="62" t="s">
        <v>185</v>
      </c>
      <c r="C46" s="131"/>
      <c r="D46" s="132"/>
      <c r="E46" s="139" t="str">
        <f>'动态压力降测试Dynamic pressure  test'!D20</f>
        <v>Bar</v>
      </c>
      <c r="F46" s="138"/>
      <c r="G46" s="139" t="s">
        <v>190</v>
      </c>
      <c r="H46" s="138"/>
      <c r="I46" s="137" t="str">
        <f>'锁模力优化Optimization of clamping f'!C16</f>
        <v>Bar</v>
      </c>
      <c r="J46" s="143"/>
      <c r="K46" s="132"/>
      <c r="L46" s="132"/>
    </row>
    <row r="47" spans="1:16" s="30" customFormat="1" ht="23.4" customHeight="1" x14ac:dyDescent="0.3">
      <c r="A47" s="35" t="str">
        <f>'粘度曲线Viscosity Curve'!B40</f>
        <v>70%~90%</v>
      </c>
      <c r="B47" s="48" t="str">
        <f>'粘度曲线Viscosity Curve'!C40</f>
        <v>72~109</v>
      </c>
      <c r="C47" s="109">
        <f>'动态压力降测试Dynamic pressure  test'!D40</f>
        <v>0.96969696969696972</v>
      </c>
      <c r="D47" s="48" t="str">
        <f>'型腔平衡测试CAV balance test'!N43</f>
        <v>OK</v>
      </c>
      <c r="E47" s="140">
        <f>'压力工艺窗口Pressure process window'!D22</f>
        <v>30</v>
      </c>
      <c r="F47" s="141"/>
      <c r="G47" s="140">
        <f>'浇口冻结测试Gate freezing test'!C34</f>
        <v>11</v>
      </c>
      <c r="H47" s="141"/>
      <c r="I47" s="144">
        <f>'锁模力优化Optimization of clamping f'!G40</f>
        <v>200</v>
      </c>
      <c r="J47" s="145"/>
      <c r="K47" s="146"/>
      <c r="L47" s="146"/>
    </row>
    <row r="48" spans="1:16" s="30" customFormat="1" ht="24.6" customHeight="1" x14ac:dyDescent="0.3">
      <c r="A48" s="53"/>
      <c r="B48" s="54"/>
      <c r="C48" s="54"/>
      <c r="D48" s="60" t="s">
        <v>277</v>
      </c>
      <c r="E48" s="54"/>
      <c r="F48" s="54"/>
      <c r="G48" s="54"/>
      <c r="H48" s="60" t="s">
        <v>196</v>
      </c>
      <c r="I48" s="54"/>
      <c r="J48" s="54"/>
      <c r="K48" s="54"/>
      <c r="L48" s="54"/>
    </row>
    <row r="49" s="30" customFormat="1" ht="1.8" customHeight="1" x14ac:dyDescent="0.3"/>
    <row r="50" ht="30" customHeight="1" x14ac:dyDescent="0.3"/>
  </sheetData>
  <mergeCells count="116">
    <mergeCell ref="G26:L26"/>
    <mergeCell ref="K19:L19"/>
    <mergeCell ref="I18:J18"/>
    <mergeCell ref="I19:J19"/>
    <mergeCell ref="G18:H18"/>
    <mergeCell ref="G19:H19"/>
    <mergeCell ref="A20:B20"/>
    <mergeCell ref="A21:B21"/>
    <mergeCell ref="D14:E14"/>
    <mergeCell ref="D15:E15"/>
    <mergeCell ref="E20:F20"/>
    <mergeCell ref="E21:F21"/>
    <mergeCell ref="G20:H20"/>
    <mergeCell ref="G21:H21"/>
    <mergeCell ref="J14:L14"/>
    <mergeCell ref="H14:I14"/>
    <mergeCell ref="J15:L15"/>
    <mergeCell ref="K18:L18"/>
    <mergeCell ref="K20:L20"/>
    <mergeCell ref="K21:L21"/>
    <mergeCell ref="I20:J20"/>
    <mergeCell ref="I21:J21"/>
    <mergeCell ref="C20:D20"/>
    <mergeCell ref="C21:D21"/>
    <mergeCell ref="B13:C13"/>
    <mergeCell ref="D12:E12"/>
    <mergeCell ref="D13:E13"/>
    <mergeCell ref="H12:I12"/>
    <mergeCell ref="H13:I13"/>
    <mergeCell ref="F12:G12"/>
    <mergeCell ref="F13:G13"/>
    <mergeCell ref="F14:G14"/>
    <mergeCell ref="F15:G15"/>
    <mergeCell ref="H15:I15"/>
    <mergeCell ref="A1:L1"/>
    <mergeCell ref="A3:L3"/>
    <mergeCell ref="B6:C6"/>
    <mergeCell ref="D6:E6"/>
    <mergeCell ref="J6:L6"/>
    <mergeCell ref="B4:C4"/>
    <mergeCell ref="K4:L4"/>
    <mergeCell ref="B5:C5"/>
    <mergeCell ref="D5:E5"/>
    <mergeCell ref="J5:L5"/>
    <mergeCell ref="E4:F4"/>
    <mergeCell ref="I6:I7"/>
    <mergeCell ref="H6:H7"/>
    <mergeCell ref="B7:C7"/>
    <mergeCell ref="D7:E7"/>
    <mergeCell ref="J7:L7"/>
    <mergeCell ref="A2:L2"/>
    <mergeCell ref="E9:F9"/>
    <mergeCell ref="B9:C9"/>
    <mergeCell ref="K9:L9"/>
    <mergeCell ref="A8:L8"/>
    <mergeCell ref="H9:I9"/>
    <mergeCell ref="G27:L27"/>
    <mergeCell ref="A10:L11"/>
    <mergeCell ref="A26:C26"/>
    <mergeCell ref="A27:C27"/>
    <mergeCell ref="A25:C25"/>
    <mergeCell ref="A16:L17"/>
    <mergeCell ref="A22:L23"/>
    <mergeCell ref="A24:C24"/>
    <mergeCell ref="D24:F24"/>
    <mergeCell ref="D25:F25"/>
    <mergeCell ref="D26:F26"/>
    <mergeCell ref="D27:F27"/>
    <mergeCell ref="G24:L24"/>
    <mergeCell ref="G25:L25"/>
    <mergeCell ref="B12:C12"/>
    <mergeCell ref="J12:L12"/>
    <mergeCell ref="J13:L13"/>
    <mergeCell ref="B14:C14"/>
    <mergeCell ref="B15:C15"/>
    <mergeCell ref="C45:C46"/>
    <mergeCell ref="D45:D46"/>
    <mergeCell ref="A45:B45"/>
    <mergeCell ref="G35:L35"/>
    <mergeCell ref="D35:F35"/>
    <mergeCell ref="A44:L44"/>
    <mergeCell ref="E45:F45"/>
    <mergeCell ref="E46:F46"/>
    <mergeCell ref="E47:F47"/>
    <mergeCell ref="G45:H45"/>
    <mergeCell ref="G46:H46"/>
    <mergeCell ref="G47:H47"/>
    <mergeCell ref="I45:J45"/>
    <mergeCell ref="I46:J46"/>
    <mergeCell ref="I47:J47"/>
    <mergeCell ref="K47:L47"/>
    <mergeCell ref="K45:L45"/>
    <mergeCell ref="K46:L46"/>
    <mergeCell ref="A35:C35"/>
    <mergeCell ref="A36:L36"/>
    <mergeCell ref="A28:C28"/>
    <mergeCell ref="G29:L29"/>
    <mergeCell ref="G30:L30"/>
    <mergeCell ref="A32:C32"/>
    <mergeCell ref="A33:C33"/>
    <mergeCell ref="G33:L33"/>
    <mergeCell ref="G34:L34"/>
    <mergeCell ref="A29:C29"/>
    <mergeCell ref="A30:C30"/>
    <mergeCell ref="A31:C31"/>
    <mergeCell ref="D34:F34"/>
    <mergeCell ref="G32:L32"/>
    <mergeCell ref="D32:F32"/>
    <mergeCell ref="D33:F33"/>
    <mergeCell ref="A34:C34"/>
    <mergeCell ref="G31:L31"/>
    <mergeCell ref="D29:F29"/>
    <mergeCell ref="D30:F30"/>
    <mergeCell ref="D31:F31"/>
    <mergeCell ref="G28:L28"/>
    <mergeCell ref="D28:F28"/>
  </mergeCells>
  <dataValidations count="3">
    <dataValidation type="list" allowBlank="1" showInputMessage="1" showErrorMessage="1" promptTitle="OK,NG" sqref="D47" xr:uid="{014071EA-EEE9-4268-94D1-6A03DBC5AD62}">
      <formula1>"OK,NG"</formula1>
    </dataValidation>
    <dataValidation type="list" allowBlank="1" showInputMessage="1" showErrorMessage="1" sqref="C19" xr:uid="{EAB16E88-968F-4E1C-A3BC-F350418001FA}">
      <formula1>"电动机,油压机"</formula1>
    </dataValidation>
    <dataValidation allowBlank="1" showInputMessage="1" showErrorMessage="1" promptTitle="OK,NG" sqref="C47" xr:uid="{AC9531CD-50E6-451C-8635-9426CF2A6A5F}"/>
  </dataValidations>
  <pageMargins left="0.7" right="0.7" top="0.75" bottom="0.75" header="0.3" footer="0.3"/>
  <pageSetup paperSize="9" scale="52"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5B008-EC98-40B8-8384-58EFCA8E2CF9}">
  <dimension ref="A1:P40"/>
  <sheetViews>
    <sheetView showWhiteSpace="0" view="pageBreakPreview" topLeftCell="A32" zoomScaleNormal="100" zoomScaleSheetLayoutView="100" zoomScalePageLayoutView="115" workbookViewId="0">
      <selection activeCell="Q33" sqref="Q33"/>
    </sheetView>
  </sheetViews>
  <sheetFormatPr defaultRowHeight="14.4" x14ac:dyDescent="0.3"/>
  <cols>
    <col min="1" max="1" width="5.109375" customWidth="1"/>
    <col min="2" max="2" width="5.21875" customWidth="1"/>
    <col min="3" max="3" width="5.44140625" customWidth="1"/>
    <col min="4" max="4" width="5.33203125" customWidth="1"/>
    <col min="5" max="5" width="5.5546875" customWidth="1"/>
    <col min="6" max="6" width="5.33203125" customWidth="1"/>
    <col min="7" max="7" width="5.21875" customWidth="1"/>
    <col min="8" max="8" width="5.6640625" customWidth="1"/>
    <col min="9" max="9" width="6.109375" customWidth="1"/>
    <col min="10" max="10" width="2.44140625" customWidth="1"/>
    <col min="11" max="11" width="3.77734375" customWidth="1"/>
    <col min="12" max="12" width="4.109375" customWidth="1"/>
    <col min="13" max="13" width="7.21875" customWidth="1"/>
    <col min="14" max="14" width="8" customWidth="1"/>
    <col min="15" max="15" width="8.21875" customWidth="1"/>
    <col min="16" max="16" width="7.5546875" customWidth="1"/>
  </cols>
  <sheetData>
    <row r="1" spans="1:16" ht="28.8" x14ac:dyDescent="0.55000000000000004">
      <c r="A1" s="231" t="s">
        <v>280</v>
      </c>
      <c r="B1" s="231"/>
      <c r="C1" s="231"/>
      <c r="D1" s="231"/>
      <c r="E1" s="231"/>
      <c r="F1" s="231"/>
      <c r="G1" s="231"/>
      <c r="H1" s="231"/>
      <c r="I1" s="231"/>
      <c r="J1" s="231"/>
      <c r="K1" s="231"/>
      <c r="L1" s="231"/>
      <c r="M1" s="231"/>
      <c r="N1" s="231"/>
      <c r="O1" s="231"/>
      <c r="P1" s="231"/>
    </row>
    <row r="2" spans="1:16" ht="4.8" customHeight="1" x14ac:dyDescent="0.55000000000000004">
      <c r="A2" s="230"/>
      <c r="B2" s="230"/>
      <c r="C2" s="230"/>
      <c r="D2" s="230"/>
      <c r="E2" s="230"/>
      <c r="F2" s="230"/>
      <c r="G2" s="230"/>
      <c r="H2" s="230"/>
      <c r="I2" s="230"/>
      <c r="J2" s="230"/>
      <c r="K2" s="230"/>
      <c r="L2" s="230"/>
      <c r="M2" s="230"/>
      <c r="N2" s="230"/>
      <c r="O2" s="230"/>
      <c r="P2" s="230"/>
    </row>
    <row r="3" spans="1:16" ht="36.6" customHeight="1" x14ac:dyDescent="0.3">
      <c r="A3" s="232" t="s">
        <v>281</v>
      </c>
      <c r="B3" s="233"/>
      <c r="C3" s="233"/>
      <c r="D3" s="233"/>
      <c r="E3" s="233"/>
      <c r="F3" s="233"/>
      <c r="G3" s="233"/>
      <c r="H3" s="233"/>
      <c r="I3" s="232" t="s">
        <v>282</v>
      </c>
      <c r="J3" s="233"/>
      <c r="K3" s="233"/>
      <c r="L3" s="233"/>
      <c r="M3" s="233"/>
      <c r="N3" s="233"/>
      <c r="O3" s="233"/>
      <c r="P3" s="233"/>
    </row>
    <row r="4" spans="1:16" ht="43.8" customHeight="1" x14ac:dyDescent="0.3">
      <c r="A4" s="225" t="s">
        <v>212</v>
      </c>
      <c r="B4" s="225" t="s">
        <v>212</v>
      </c>
      <c r="C4" s="225" t="s">
        <v>212</v>
      </c>
      <c r="D4" s="225" t="s">
        <v>212</v>
      </c>
      <c r="E4" s="225" t="s">
        <v>212</v>
      </c>
      <c r="F4" s="225" t="s">
        <v>212</v>
      </c>
      <c r="G4" s="225" t="s">
        <v>212</v>
      </c>
      <c r="H4" s="225" t="s">
        <v>212</v>
      </c>
      <c r="I4" s="199"/>
      <c r="J4" s="200"/>
      <c r="K4" s="200"/>
      <c r="L4" s="200"/>
      <c r="M4" s="200"/>
      <c r="N4" s="200"/>
      <c r="O4" s="200"/>
      <c r="P4" s="201"/>
    </row>
    <row r="5" spans="1:16" ht="31.8" customHeight="1" x14ac:dyDescent="0.3">
      <c r="A5" s="225"/>
      <c r="B5" s="225"/>
      <c r="C5" s="225"/>
      <c r="D5" s="225"/>
      <c r="E5" s="225"/>
      <c r="F5" s="225"/>
      <c r="G5" s="225"/>
      <c r="H5" s="225"/>
      <c r="I5" s="234" t="s">
        <v>283</v>
      </c>
      <c r="J5" s="202"/>
      <c r="K5" s="235" t="s">
        <v>284</v>
      </c>
      <c r="L5" s="201"/>
      <c r="M5" s="82" t="s">
        <v>285</v>
      </c>
      <c r="N5" s="82" t="s">
        <v>286</v>
      </c>
      <c r="O5" s="82" t="s">
        <v>287</v>
      </c>
      <c r="P5" s="82" t="s">
        <v>288</v>
      </c>
    </row>
    <row r="6" spans="1:16" ht="26.4" customHeight="1" x14ac:dyDescent="0.3">
      <c r="A6" s="225"/>
      <c r="B6" s="225"/>
      <c r="C6" s="225"/>
      <c r="D6" s="225"/>
      <c r="E6" s="225"/>
      <c r="F6" s="225"/>
      <c r="G6" s="225"/>
      <c r="H6" s="225"/>
      <c r="I6" s="225">
        <v>255</v>
      </c>
      <c r="J6" s="225"/>
      <c r="K6" s="203">
        <v>265</v>
      </c>
      <c r="L6" s="236"/>
      <c r="M6" s="57">
        <v>265</v>
      </c>
      <c r="N6" s="57">
        <v>261</v>
      </c>
      <c r="O6" s="57">
        <v>255</v>
      </c>
      <c r="P6" s="57">
        <v>245</v>
      </c>
    </row>
    <row r="7" spans="1:16" ht="20.399999999999999" customHeight="1" x14ac:dyDescent="0.35">
      <c r="A7" s="213" t="s">
        <v>289</v>
      </c>
      <c r="B7" s="214"/>
      <c r="C7" s="214"/>
      <c r="D7" s="214"/>
      <c r="E7" s="214"/>
      <c r="F7" s="214"/>
      <c r="G7" s="214"/>
      <c r="H7" s="214"/>
      <c r="I7" s="214"/>
      <c r="J7" s="214"/>
      <c r="K7" s="214"/>
      <c r="L7" s="214"/>
      <c r="M7" s="214"/>
      <c r="N7" s="214"/>
      <c r="O7" s="214"/>
      <c r="P7" s="215"/>
    </row>
    <row r="8" spans="1:16" ht="30" customHeight="1" x14ac:dyDescent="0.3">
      <c r="A8" s="205" t="s">
        <v>295</v>
      </c>
      <c r="B8" s="206"/>
      <c r="C8" s="206"/>
      <c r="D8" s="206"/>
      <c r="E8" s="222" t="s">
        <v>291</v>
      </c>
      <c r="F8" s="223"/>
      <c r="G8" s="223"/>
      <c r="H8" s="223"/>
      <c r="I8" s="223"/>
      <c r="J8" s="223"/>
      <c r="K8" s="223"/>
      <c r="L8" s="223"/>
      <c r="M8" s="223"/>
      <c r="N8" s="223"/>
      <c r="O8" s="223"/>
      <c r="P8" s="224"/>
    </row>
    <row r="9" spans="1:16" x14ac:dyDescent="0.3">
      <c r="A9" s="225">
        <v>60</v>
      </c>
      <c r="B9" s="225"/>
      <c r="C9" s="225"/>
      <c r="D9" s="225"/>
      <c r="E9" s="216" t="s">
        <v>293</v>
      </c>
      <c r="F9" s="217"/>
      <c r="G9" s="217"/>
      <c r="H9" s="217"/>
      <c r="I9" s="217"/>
      <c r="J9" s="217"/>
      <c r="K9" s="217"/>
      <c r="L9" s="217"/>
      <c r="M9" s="217"/>
      <c r="N9" s="217"/>
      <c r="O9" s="217"/>
      <c r="P9" s="218"/>
    </row>
    <row r="10" spans="1:16" ht="8.4" customHeight="1" x14ac:dyDescent="0.3">
      <c r="A10" s="225"/>
      <c r="B10" s="225"/>
      <c r="C10" s="225"/>
      <c r="D10" s="225"/>
      <c r="E10" s="219"/>
      <c r="F10" s="220"/>
      <c r="G10" s="220"/>
      <c r="H10" s="220"/>
      <c r="I10" s="220"/>
      <c r="J10" s="220"/>
      <c r="K10" s="220"/>
      <c r="L10" s="220"/>
      <c r="M10" s="220"/>
      <c r="N10" s="220"/>
      <c r="O10" s="220"/>
      <c r="P10" s="221"/>
    </row>
    <row r="11" spans="1:16" x14ac:dyDescent="0.3">
      <c r="A11" s="225">
        <v>60</v>
      </c>
      <c r="B11" s="225"/>
      <c r="C11" s="225"/>
      <c r="D11" s="225"/>
      <c r="E11" s="216"/>
      <c r="F11" s="217"/>
      <c r="G11" s="217"/>
      <c r="H11" s="217"/>
      <c r="I11" s="217"/>
      <c r="J11" s="217"/>
      <c r="K11" s="217"/>
      <c r="L11" s="217"/>
      <c r="M11" s="217"/>
      <c r="N11" s="217"/>
      <c r="O11" s="217"/>
      <c r="P11" s="218"/>
    </row>
    <row r="12" spans="1:16" ht="7.2" customHeight="1" x14ac:dyDescent="0.3">
      <c r="A12" s="225"/>
      <c r="B12" s="225"/>
      <c r="C12" s="225"/>
      <c r="D12" s="225"/>
      <c r="E12" s="219"/>
      <c r="F12" s="220"/>
      <c r="G12" s="220"/>
      <c r="H12" s="220"/>
      <c r="I12" s="220"/>
      <c r="J12" s="220"/>
      <c r="K12" s="220"/>
      <c r="L12" s="220"/>
      <c r="M12" s="220"/>
      <c r="N12" s="220"/>
      <c r="O12" s="220"/>
      <c r="P12" s="221"/>
    </row>
    <row r="13" spans="1:16" x14ac:dyDescent="0.3">
      <c r="A13" s="225" t="s">
        <v>212</v>
      </c>
      <c r="B13" s="225"/>
      <c r="C13" s="225"/>
      <c r="D13" s="225"/>
      <c r="E13" s="216"/>
      <c r="F13" s="217"/>
      <c r="G13" s="217"/>
      <c r="H13" s="217"/>
      <c r="I13" s="217"/>
      <c r="J13" s="217"/>
      <c r="K13" s="217"/>
      <c r="L13" s="217"/>
      <c r="M13" s="217"/>
      <c r="N13" s="217"/>
      <c r="O13" s="217"/>
      <c r="P13" s="218"/>
    </row>
    <row r="14" spans="1:16" ht="6" customHeight="1" x14ac:dyDescent="0.3">
      <c r="A14" s="225"/>
      <c r="B14" s="225"/>
      <c r="C14" s="225"/>
      <c r="D14" s="225"/>
      <c r="E14" s="219"/>
      <c r="F14" s="220"/>
      <c r="G14" s="220"/>
      <c r="H14" s="220"/>
      <c r="I14" s="220"/>
      <c r="J14" s="220"/>
      <c r="K14" s="220"/>
      <c r="L14" s="220"/>
      <c r="M14" s="220"/>
      <c r="N14" s="220"/>
      <c r="O14" s="220"/>
      <c r="P14" s="221"/>
    </row>
    <row r="15" spans="1:16" ht="16.2" customHeight="1" x14ac:dyDescent="0.35">
      <c r="A15" s="213" t="s">
        <v>290</v>
      </c>
      <c r="B15" s="214"/>
      <c r="C15" s="214"/>
      <c r="D15" s="214"/>
      <c r="E15" s="214"/>
      <c r="F15" s="214"/>
      <c r="G15" s="214"/>
      <c r="H15" s="214"/>
      <c r="I15" s="214"/>
      <c r="J15" s="214"/>
      <c r="K15" s="214"/>
      <c r="L15" s="214"/>
      <c r="M15" s="214"/>
      <c r="N15" s="214"/>
      <c r="O15" s="214"/>
      <c r="P15" s="215"/>
    </row>
    <row r="16" spans="1:16" ht="31.2" customHeight="1" x14ac:dyDescent="0.3">
      <c r="A16" s="205" t="s">
        <v>295</v>
      </c>
      <c r="B16" s="206"/>
      <c r="C16" s="206"/>
      <c r="D16" s="206"/>
      <c r="E16" s="228" t="s">
        <v>291</v>
      </c>
      <c r="F16" s="229"/>
      <c r="G16" s="229"/>
      <c r="H16" s="229"/>
      <c r="I16" s="229"/>
      <c r="J16" s="229"/>
      <c r="K16" s="229"/>
      <c r="L16" s="229"/>
      <c r="M16" s="229"/>
      <c r="N16" s="229"/>
      <c r="O16" s="229"/>
      <c r="P16" s="229"/>
    </row>
    <row r="17" spans="1:16" ht="22.2" customHeight="1" x14ac:dyDescent="0.3">
      <c r="A17" s="225">
        <v>14</v>
      </c>
      <c r="B17" s="225"/>
      <c r="C17" s="225"/>
      <c r="D17" s="225"/>
      <c r="E17" s="225" t="s">
        <v>292</v>
      </c>
      <c r="F17" s="225"/>
      <c r="G17" s="225"/>
      <c r="H17" s="225"/>
      <c r="I17" s="225"/>
      <c r="J17" s="225"/>
      <c r="K17" s="225"/>
      <c r="L17" s="225"/>
      <c r="M17" s="225"/>
      <c r="N17" s="225"/>
      <c r="O17" s="225"/>
      <c r="P17" s="225"/>
    </row>
    <row r="18" spans="1:16" ht="25.2" customHeight="1" x14ac:dyDescent="0.3">
      <c r="A18" s="225">
        <v>14</v>
      </c>
      <c r="B18" s="225"/>
      <c r="C18" s="225"/>
      <c r="D18" s="225"/>
      <c r="E18" s="225"/>
      <c r="F18" s="225"/>
      <c r="G18" s="225"/>
      <c r="H18" s="225"/>
      <c r="I18" s="225"/>
      <c r="J18" s="225"/>
      <c r="K18" s="225"/>
      <c r="L18" s="225"/>
      <c r="M18" s="225"/>
      <c r="N18" s="225"/>
      <c r="O18" s="225"/>
      <c r="P18" s="225"/>
    </row>
    <row r="19" spans="1:16" ht="22.8" customHeight="1" x14ac:dyDescent="0.3">
      <c r="A19" s="225">
        <v>14</v>
      </c>
      <c r="B19" s="225"/>
      <c r="C19" s="225"/>
      <c r="D19" s="225"/>
      <c r="E19" s="225"/>
      <c r="F19" s="225"/>
      <c r="G19" s="225"/>
      <c r="H19" s="225"/>
      <c r="I19" s="225"/>
      <c r="J19" s="225"/>
      <c r="K19" s="225"/>
      <c r="L19" s="225"/>
      <c r="M19" s="225"/>
      <c r="N19" s="225"/>
      <c r="O19" s="225"/>
      <c r="P19" s="225"/>
    </row>
    <row r="20" spans="1:16" ht="20.399999999999999" customHeight="1" x14ac:dyDescent="0.3">
      <c r="A20" s="210" t="s">
        <v>294</v>
      </c>
      <c r="B20" s="211"/>
      <c r="C20" s="211"/>
      <c r="D20" s="211"/>
      <c r="E20" s="211"/>
      <c r="F20" s="211"/>
      <c r="G20" s="211"/>
      <c r="H20" s="211"/>
      <c r="I20" s="211"/>
      <c r="J20" s="211"/>
      <c r="K20" s="211"/>
      <c r="L20" s="211"/>
      <c r="M20" s="211"/>
      <c r="N20" s="211"/>
      <c r="O20" s="211"/>
      <c r="P20" s="212"/>
    </row>
    <row r="21" spans="1:16" ht="31.8" customHeight="1" x14ac:dyDescent="0.3">
      <c r="A21" s="205" t="s">
        <v>295</v>
      </c>
      <c r="B21" s="206"/>
      <c r="C21" s="206"/>
      <c r="D21" s="206"/>
      <c r="E21" s="207" t="s">
        <v>291</v>
      </c>
      <c r="F21" s="208"/>
      <c r="G21" s="208"/>
      <c r="H21" s="208"/>
      <c r="I21" s="208"/>
      <c r="J21" s="208"/>
      <c r="K21" s="208"/>
      <c r="L21" s="208"/>
      <c r="M21" s="208"/>
      <c r="N21" s="208"/>
      <c r="O21" s="208"/>
      <c r="P21" s="209"/>
    </row>
    <row r="22" spans="1:16" ht="20.399999999999999" customHeight="1" x14ac:dyDescent="0.3">
      <c r="A22" s="203" t="s">
        <v>200</v>
      </c>
      <c r="B22" s="204"/>
      <c r="C22" s="202">
        <v>60</v>
      </c>
      <c r="D22" s="202"/>
      <c r="E22" s="199"/>
      <c r="F22" s="200"/>
      <c r="G22" s="200"/>
      <c r="H22" s="200"/>
      <c r="I22" s="200"/>
      <c r="J22" s="200"/>
      <c r="K22" s="200"/>
      <c r="L22" s="200"/>
      <c r="M22" s="200"/>
      <c r="N22" s="200"/>
      <c r="O22" s="200"/>
      <c r="P22" s="201"/>
    </row>
    <row r="23" spans="1:16" ht="21.6" customHeight="1" x14ac:dyDescent="0.3">
      <c r="A23" s="203" t="s">
        <v>201</v>
      </c>
      <c r="B23" s="204"/>
      <c r="C23" s="202">
        <v>60</v>
      </c>
      <c r="D23" s="202"/>
      <c r="E23" s="199"/>
      <c r="F23" s="200"/>
      <c r="G23" s="200"/>
      <c r="H23" s="200"/>
      <c r="I23" s="200"/>
      <c r="J23" s="200"/>
      <c r="K23" s="200"/>
      <c r="L23" s="200"/>
      <c r="M23" s="200"/>
      <c r="N23" s="200"/>
      <c r="O23" s="200"/>
      <c r="P23" s="201"/>
    </row>
    <row r="24" spans="1:16" ht="18.600000000000001" customHeight="1" x14ac:dyDescent="0.3">
      <c r="A24" s="203" t="s">
        <v>202</v>
      </c>
      <c r="B24" s="204"/>
      <c r="C24" s="202" t="s">
        <v>212</v>
      </c>
      <c r="D24" s="202"/>
      <c r="E24" s="199"/>
      <c r="F24" s="200"/>
      <c r="G24" s="200"/>
      <c r="H24" s="200"/>
      <c r="I24" s="200"/>
      <c r="J24" s="200"/>
      <c r="K24" s="200"/>
      <c r="L24" s="200"/>
      <c r="M24" s="200"/>
      <c r="N24" s="200"/>
      <c r="O24" s="200"/>
      <c r="P24" s="201"/>
    </row>
    <row r="25" spans="1:16" ht="19.8" customHeight="1" x14ac:dyDescent="0.3">
      <c r="A25" s="203" t="s">
        <v>203</v>
      </c>
      <c r="B25" s="204"/>
      <c r="C25" s="202" t="s">
        <v>212</v>
      </c>
      <c r="D25" s="202"/>
      <c r="E25" s="199"/>
      <c r="F25" s="200"/>
      <c r="G25" s="200"/>
      <c r="H25" s="200"/>
      <c r="I25" s="200"/>
      <c r="J25" s="200"/>
      <c r="K25" s="200"/>
      <c r="L25" s="200"/>
      <c r="M25" s="200"/>
      <c r="N25" s="200"/>
      <c r="O25" s="200"/>
      <c r="P25" s="201"/>
    </row>
    <row r="26" spans="1:16" ht="16.8" customHeight="1" x14ac:dyDescent="0.3">
      <c r="A26" s="203" t="s">
        <v>204</v>
      </c>
      <c r="B26" s="204"/>
      <c r="C26" s="202" t="s">
        <v>212</v>
      </c>
      <c r="D26" s="202"/>
      <c r="E26" s="199"/>
      <c r="F26" s="200"/>
      <c r="G26" s="200"/>
      <c r="H26" s="200"/>
      <c r="I26" s="200"/>
      <c r="J26" s="200"/>
      <c r="K26" s="200"/>
      <c r="L26" s="200"/>
      <c r="M26" s="200"/>
      <c r="N26" s="200"/>
      <c r="O26" s="200"/>
      <c r="P26" s="201"/>
    </row>
    <row r="27" spans="1:16" ht="16.8" customHeight="1" x14ac:dyDescent="0.3">
      <c r="A27" s="203" t="s">
        <v>205</v>
      </c>
      <c r="B27" s="204"/>
      <c r="C27" s="202" t="s">
        <v>212</v>
      </c>
      <c r="D27" s="202"/>
      <c r="E27" s="199"/>
      <c r="F27" s="200"/>
      <c r="G27" s="200"/>
      <c r="H27" s="200"/>
      <c r="I27" s="200"/>
      <c r="J27" s="200"/>
      <c r="K27" s="200"/>
      <c r="L27" s="200"/>
      <c r="M27" s="200"/>
      <c r="N27" s="200"/>
      <c r="O27" s="200"/>
      <c r="P27" s="201"/>
    </row>
    <row r="28" spans="1:16" ht="33" customHeight="1" x14ac:dyDescent="0.3">
      <c r="A28" s="226" t="s">
        <v>296</v>
      </c>
      <c r="B28" s="227"/>
      <c r="C28" s="227"/>
      <c r="D28" s="227"/>
      <c r="E28" s="227"/>
      <c r="F28" s="227"/>
      <c r="G28" s="227"/>
      <c r="H28" s="227"/>
      <c r="I28" s="226" t="s">
        <v>297</v>
      </c>
      <c r="J28" s="227"/>
      <c r="K28" s="227"/>
      <c r="L28" s="227"/>
      <c r="M28" s="227"/>
      <c r="N28" s="227"/>
      <c r="O28" s="227"/>
      <c r="P28" s="227"/>
    </row>
    <row r="29" spans="1:16" x14ac:dyDescent="0.3">
      <c r="A29" s="202"/>
      <c r="B29" s="202"/>
      <c r="C29" s="202"/>
      <c r="D29" s="202"/>
      <c r="E29" s="202"/>
      <c r="F29" s="202"/>
      <c r="G29" s="202"/>
      <c r="H29" s="202"/>
      <c r="I29" s="202"/>
      <c r="J29" s="202"/>
      <c r="K29" s="202"/>
      <c r="L29" s="202"/>
      <c r="M29" s="202"/>
      <c r="N29" s="202"/>
      <c r="O29" s="202"/>
      <c r="P29" s="202"/>
    </row>
    <row r="30" spans="1:16" x14ac:dyDescent="0.3">
      <c r="A30" s="202"/>
      <c r="B30" s="202"/>
      <c r="C30" s="202"/>
      <c r="D30" s="202"/>
      <c r="E30" s="202"/>
      <c r="F30" s="202"/>
      <c r="G30" s="202"/>
      <c r="H30" s="202"/>
      <c r="I30" s="202"/>
      <c r="J30" s="202"/>
      <c r="K30" s="202"/>
      <c r="L30" s="202"/>
      <c r="M30" s="202"/>
      <c r="N30" s="202"/>
      <c r="O30" s="202"/>
      <c r="P30" s="202"/>
    </row>
    <row r="31" spans="1:16" x14ac:dyDescent="0.3">
      <c r="A31" s="202"/>
      <c r="B31" s="202"/>
      <c r="C31" s="202"/>
      <c r="D31" s="202"/>
      <c r="E31" s="202"/>
      <c r="F31" s="202"/>
      <c r="G31" s="202"/>
      <c r="H31" s="202"/>
      <c r="I31" s="202"/>
      <c r="J31" s="202"/>
      <c r="K31" s="202"/>
      <c r="L31" s="202"/>
      <c r="M31" s="202"/>
      <c r="N31" s="202"/>
      <c r="O31" s="202"/>
      <c r="P31" s="202"/>
    </row>
    <row r="32" spans="1:16" x14ac:dyDescent="0.3">
      <c r="A32" s="202"/>
      <c r="B32" s="202"/>
      <c r="C32" s="202"/>
      <c r="D32" s="202"/>
      <c r="E32" s="202"/>
      <c r="F32" s="202"/>
      <c r="G32" s="202"/>
      <c r="H32" s="202"/>
      <c r="I32" s="202"/>
      <c r="J32" s="202"/>
      <c r="K32" s="202"/>
      <c r="L32" s="202"/>
      <c r="M32" s="202"/>
      <c r="N32" s="202"/>
      <c r="O32" s="202"/>
      <c r="P32" s="202"/>
    </row>
    <row r="33" spans="1:16" x14ac:dyDescent="0.3">
      <c r="A33" s="202"/>
      <c r="B33" s="202"/>
      <c r="C33" s="202"/>
      <c r="D33" s="202"/>
      <c r="E33" s="202"/>
      <c r="F33" s="202"/>
      <c r="G33" s="202"/>
      <c r="H33" s="202"/>
      <c r="I33" s="202"/>
      <c r="J33" s="202"/>
      <c r="K33" s="202"/>
      <c r="L33" s="202"/>
      <c r="M33" s="202"/>
      <c r="N33" s="202"/>
      <c r="O33" s="202"/>
      <c r="P33" s="202"/>
    </row>
    <row r="34" spans="1:16" x14ac:dyDescent="0.3">
      <c r="A34" s="202"/>
      <c r="B34" s="202"/>
      <c r="C34" s="202"/>
      <c r="D34" s="202"/>
      <c r="E34" s="202"/>
      <c r="F34" s="202"/>
      <c r="G34" s="202"/>
      <c r="H34" s="202"/>
      <c r="I34" s="202"/>
      <c r="J34" s="202"/>
      <c r="K34" s="202"/>
      <c r="L34" s="202"/>
      <c r="M34" s="202"/>
      <c r="N34" s="202"/>
      <c r="O34" s="202"/>
      <c r="P34" s="202"/>
    </row>
    <row r="35" spans="1:16" x14ac:dyDescent="0.3">
      <c r="A35" s="202"/>
      <c r="B35" s="202"/>
      <c r="C35" s="202"/>
      <c r="D35" s="202"/>
      <c r="E35" s="202"/>
      <c r="F35" s="202"/>
      <c r="G35" s="202"/>
      <c r="H35" s="202"/>
      <c r="I35" s="202"/>
      <c r="J35" s="202"/>
      <c r="K35" s="202"/>
      <c r="L35" s="202"/>
      <c r="M35" s="202"/>
      <c r="N35" s="202"/>
      <c r="O35" s="202"/>
      <c r="P35" s="202"/>
    </row>
    <row r="36" spans="1:16" x14ac:dyDescent="0.3">
      <c r="A36" s="202"/>
      <c r="B36" s="202"/>
      <c r="C36" s="202"/>
      <c r="D36" s="202"/>
      <c r="E36" s="202"/>
      <c r="F36" s="202"/>
      <c r="G36" s="202"/>
      <c r="H36" s="202"/>
      <c r="I36" s="202"/>
      <c r="J36" s="202"/>
      <c r="K36" s="202"/>
      <c r="L36" s="202"/>
      <c r="M36" s="202"/>
      <c r="N36" s="202"/>
      <c r="O36" s="202"/>
      <c r="P36" s="202"/>
    </row>
    <row r="37" spans="1:16" x14ac:dyDescent="0.3">
      <c r="A37" s="202"/>
      <c r="B37" s="202"/>
      <c r="C37" s="202"/>
      <c r="D37" s="202"/>
      <c r="E37" s="202"/>
      <c r="F37" s="202"/>
      <c r="G37" s="202"/>
      <c r="H37" s="202"/>
      <c r="I37" s="202"/>
      <c r="J37" s="202"/>
      <c r="K37" s="202"/>
      <c r="L37" s="202"/>
      <c r="M37" s="202"/>
      <c r="N37" s="202"/>
      <c r="O37" s="202"/>
      <c r="P37" s="202"/>
    </row>
    <row r="38" spans="1:16" x14ac:dyDescent="0.3">
      <c r="A38" s="202"/>
      <c r="B38" s="202"/>
      <c r="C38" s="202"/>
      <c r="D38" s="202"/>
      <c r="E38" s="202"/>
      <c r="F38" s="202"/>
      <c r="G38" s="202"/>
      <c r="H38" s="202"/>
      <c r="I38" s="202"/>
      <c r="J38" s="202"/>
      <c r="K38" s="202"/>
      <c r="L38" s="202"/>
      <c r="M38" s="202"/>
      <c r="N38" s="202"/>
      <c r="O38" s="202"/>
      <c r="P38" s="202"/>
    </row>
    <row r="39" spans="1:16" x14ac:dyDescent="0.3">
      <c r="A39" s="202"/>
      <c r="B39" s="202"/>
      <c r="C39" s="202"/>
      <c r="D39" s="202"/>
      <c r="E39" s="202"/>
      <c r="F39" s="202"/>
      <c r="G39" s="202"/>
      <c r="H39" s="202"/>
      <c r="I39" s="202"/>
      <c r="J39" s="202"/>
      <c r="K39" s="202"/>
      <c r="L39" s="202"/>
      <c r="M39" s="202"/>
      <c r="N39" s="202"/>
      <c r="O39" s="202"/>
      <c r="P39" s="202"/>
    </row>
    <row r="40" spans="1:16" x14ac:dyDescent="0.3">
      <c r="A40" s="202"/>
      <c r="B40" s="202"/>
      <c r="C40" s="202"/>
      <c r="D40" s="202"/>
      <c r="E40" s="202"/>
      <c r="F40" s="202"/>
      <c r="G40" s="202"/>
      <c r="H40" s="202"/>
      <c r="I40" s="202"/>
      <c r="J40" s="202"/>
      <c r="K40" s="202"/>
      <c r="L40" s="202"/>
      <c r="M40" s="202"/>
      <c r="N40" s="202"/>
      <c r="O40" s="202"/>
      <c r="P40" s="202"/>
    </row>
  </sheetData>
  <mergeCells count="60">
    <mergeCell ref="A2:P2"/>
    <mergeCell ref="A1:P1"/>
    <mergeCell ref="I3:P3"/>
    <mergeCell ref="I5:J5"/>
    <mergeCell ref="I6:J6"/>
    <mergeCell ref="K5:L5"/>
    <mergeCell ref="K6:L6"/>
    <mergeCell ref="A3:H3"/>
    <mergeCell ref="A4:A6"/>
    <mergeCell ref="B4:B6"/>
    <mergeCell ref="H4:H6"/>
    <mergeCell ref="C4:C6"/>
    <mergeCell ref="D4:D6"/>
    <mergeCell ref="E4:E6"/>
    <mergeCell ref="F4:F6"/>
    <mergeCell ref="G4:G6"/>
    <mergeCell ref="I4:P4"/>
    <mergeCell ref="A29:H40"/>
    <mergeCell ref="I29:P40"/>
    <mergeCell ref="A28:H28"/>
    <mergeCell ref="I28:P28"/>
    <mergeCell ref="A8:D8"/>
    <mergeCell ref="A9:D10"/>
    <mergeCell ref="A15:P15"/>
    <mergeCell ref="A16:D16"/>
    <mergeCell ref="A17:D17"/>
    <mergeCell ref="A18:D18"/>
    <mergeCell ref="A19:D19"/>
    <mergeCell ref="E16:P16"/>
    <mergeCell ref="E17:P17"/>
    <mergeCell ref="E18:P18"/>
    <mergeCell ref="E19:P19"/>
    <mergeCell ref="A20:P20"/>
    <mergeCell ref="A7:P7"/>
    <mergeCell ref="E9:P10"/>
    <mergeCell ref="E8:P8"/>
    <mergeCell ref="E11:P12"/>
    <mergeCell ref="E13:P14"/>
    <mergeCell ref="A11:D12"/>
    <mergeCell ref="A13:D14"/>
    <mergeCell ref="A21:D21"/>
    <mergeCell ref="E21:P21"/>
    <mergeCell ref="E24:P24"/>
    <mergeCell ref="E25:P25"/>
    <mergeCell ref="A22:B22"/>
    <mergeCell ref="A23:B23"/>
    <mergeCell ref="A24:B24"/>
    <mergeCell ref="A25:B25"/>
    <mergeCell ref="C22:D22"/>
    <mergeCell ref="C23:D23"/>
    <mergeCell ref="C24:D24"/>
    <mergeCell ref="C25:D25"/>
    <mergeCell ref="E22:P22"/>
    <mergeCell ref="E23:P23"/>
    <mergeCell ref="E26:P26"/>
    <mergeCell ref="E27:P27"/>
    <mergeCell ref="C27:D27"/>
    <mergeCell ref="C26:D26"/>
    <mergeCell ref="A26:B26"/>
    <mergeCell ref="A27:B27"/>
  </mergeCells>
  <phoneticPr fontId="41" type="noConversion"/>
  <pageMargins left="0.7" right="0.7" top="0.75" bottom="0.75" header="0.3" footer="0.3"/>
  <pageSetup paperSize="9" scale="93" orientation="portrait" r:id="rId1"/>
  <colBreaks count="1" manualBreakCount="1">
    <brk id="16" max="44"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63F168-516A-4266-8ED0-95B52F6BB83D}">
  <dimension ref="A1:H42"/>
  <sheetViews>
    <sheetView showWhiteSpace="0" view="pageBreakPreview" topLeftCell="A9" zoomScaleNormal="100" zoomScaleSheetLayoutView="100" zoomScalePageLayoutView="99" workbookViewId="0">
      <selection activeCell="J11" sqref="J11"/>
    </sheetView>
  </sheetViews>
  <sheetFormatPr defaultRowHeight="14.4" x14ac:dyDescent="0.3"/>
  <cols>
    <col min="1" max="1" width="6.44140625" customWidth="1"/>
    <col min="2" max="2" width="12.44140625" customWidth="1"/>
    <col min="3" max="3" width="11.21875" customWidth="1"/>
    <col min="4" max="4" width="14" customWidth="1"/>
    <col min="5" max="5" width="11.88671875" customWidth="1"/>
    <col min="6" max="6" width="17.5546875" customWidth="1"/>
    <col min="7" max="7" width="13.88671875" customWidth="1"/>
    <col min="8" max="8" width="27" customWidth="1"/>
  </cols>
  <sheetData>
    <row r="1" spans="1:8" ht="28.8" x14ac:dyDescent="0.55000000000000004">
      <c r="A1" s="238" t="s">
        <v>298</v>
      </c>
      <c r="B1" s="238"/>
      <c r="C1" s="238"/>
      <c r="D1" s="238"/>
      <c r="E1" s="238"/>
      <c r="F1" s="238"/>
      <c r="G1" s="238"/>
      <c r="H1" s="238"/>
    </row>
    <row r="2" spans="1:8" ht="6.6" customHeight="1" x14ac:dyDescent="0.55000000000000004">
      <c r="A2" s="110"/>
      <c r="B2" s="110"/>
      <c r="C2" s="110"/>
      <c r="D2" s="110"/>
      <c r="E2" s="110"/>
      <c r="F2" s="110"/>
      <c r="G2" s="110"/>
      <c r="H2" s="110"/>
    </row>
    <row r="3" spans="1:8" ht="22.2" customHeight="1" x14ac:dyDescent="0.3">
      <c r="A3" s="239" t="s">
        <v>321</v>
      </c>
      <c r="B3" s="239"/>
      <c r="C3" s="239"/>
      <c r="D3" s="239"/>
      <c r="E3" s="239"/>
      <c r="F3" s="239"/>
      <c r="G3" s="239"/>
      <c r="H3" s="239"/>
    </row>
    <row r="4" spans="1:8" ht="31.2" customHeight="1" x14ac:dyDescent="0.3">
      <c r="A4" s="240"/>
      <c r="B4" s="240"/>
      <c r="C4" s="240"/>
      <c r="D4" s="240"/>
      <c r="E4" s="240"/>
      <c r="F4" s="240"/>
      <c r="G4" s="240"/>
      <c r="H4" s="240"/>
    </row>
    <row r="5" spans="1:8" ht="29.4" customHeight="1" x14ac:dyDescent="0.3">
      <c r="A5" s="240"/>
      <c r="B5" s="240"/>
      <c r="C5" s="240"/>
      <c r="D5" s="240"/>
      <c r="E5" s="240"/>
      <c r="F5" s="240"/>
      <c r="G5" s="240"/>
      <c r="H5" s="240"/>
    </row>
    <row r="6" spans="1:8" ht="33" customHeight="1" x14ac:dyDescent="0.3">
      <c r="A6" s="240"/>
      <c r="B6" s="240"/>
      <c r="C6" s="240"/>
      <c r="D6" s="240"/>
      <c r="E6" s="240"/>
      <c r="F6" s="240"/>
      <c r="G6" s="240"/>
      <c r="H6" s="240"/>
    </row>
    <row r="7" spans="1:8" ht="27" customHeight="1" x14ac:dyDescent="0.3">
      <c r="A7" s="240"/>
      <c r="B7" s="240"/>
      <c r="C7" s="240"/>
      <c r="D7" s="240"/>
      <c r="E7" s="240"/>
      <c r="F7" s="240"/>
      <c r="G7" s="240"/>
      <c r="H7" s="240"/>
    </row>
    <row r="8" spans="1:8" ht="31.2" customHeight="1" x14ac:dyDescent="0.3">
      <c r="A8" s="240"/>
      <c r="B8" s="240"/>
      <c r="C8" s="240"/>
      <c r="D8" s="240"/>
      <c r="E8" s="240"/>
      <c r="F8" s="240"/>
      <c r="G8" s="240"/>
      <c r="H8" s="240"/>
    </row>
    <row r="9" spans="1:8" ht="26.4" customHeight="1" x14ac:dyDescent="0.3">
      <c r="A9" s="240"/>
      <c r="B9" s="240"/>
      <c r="C9" s="240"/>
      <c r="D9" s="240"/>
      <c r="E9" s="240"/>
      <c r="F9" s="240"/>
      <c r="G9" s="240"/>
      <c r="H9" s="240"/>
    </row>
    <row r="10" spans="1:8" ht="33" customHeight="1" x14ac:dyDescent="0.3">
      <c r="A10" s="240"/>
      <c r="B10" s="240"/>
      <c r="C10" s="240"/>
      <c r="D10" s="240"/>
      <c r="E10" s="240"/>
      <c r="F10" s="240"/>
      <c r="G10" s="240"/>
      <c r="H10" s="240"/>
    </row>
    <row r="11" spans="1:8" ht="126.6" customHeight="1" x14ac:dyDescent="0.3">
      <c r="A11" s="240"/>
      <c r="B11" s="240"/>
      <c r="C11" s="240"/>
      <c r="D11" s="240"/>
      <c r="E11" s="240"/>
      <c r="F11" s="240"/>
      <c r="G11" s="240"/>
      <c r="H11" s="240"/>
    </row>
    <row r="12" spans="1:8" ht="21.6" customHeight="1" x14ac:dyDescent="0.4">
      <c r="A12" s="241" t="s">
        <v>299</v>
      </c>
      <c r="B12" s="241"/>
      <c r="C12" s="241"/>
      <c r="D12" s="241"/>
      <c r="E12" s="241"/>
      <c r="F12" s="241"/>
      <c r="G12" s="241"/>
      <c r="H12" s="241"/>
    </row>
    <row r="13" spans="1:8" ht="13.2" customHeight="1" x14ac:dyDescent="0.3">
      <c r="A13" s="246" t="s">
        <v>300</v>
      </c>
      <c r="B13" s="246"/>
      <c r="C13" s="247"/>
      <c r="D13" s="242" t="s">
        <v>301</v>
      </c>
      <c r="E13" s="242" t="s">
        <v>302</v>
      </c>
      <c r="F13" s="242" t="s">
        <v>303</v>
      </c>
      <c r="G13" s="244" t="s">
        <v>304</v>
      </c>
      <c r="H13" s="244" t="s">
        <v>305</v>
      </c>
    </row>
    <row r="14" spans="1:8" ht="12" customHeight="1" x14ac:dyDescent="0.3">
      <c r="A14" s="248"/>
      <c r="B14" s="248"/>
      <c r="C14" s="249"/>
      <c r="D14" s="243"/>
      <c r="E14" s="243"/>
      <c r="F14" s="243"/>
      <c r="G14" s="245"/>
      <c r="H14" s="245"/>
    </row>
    <row r="15" spans="1:8" ht="18" customHeight="1" x14ac:dyDescent="0.3">
      <c r="A15" s="245" t="s">
        <v>322</v>
      </c>
      <c r="B15" s="245"/>
      <c r="C15" s="78" t="s">
        <v>2</v>
      </c>
      <c r="D15" s="78" t="s">
        <v>0</v>
      </c>
      <c r="E15" s="78" t="s">
        <v>3</v>
      </c>
      <c r="F15" s="78" t="s">
        <v>4</v>
      </c>
      <c r="G15" s="43" t="s">
        <v>5</v>
      </c>
      <c r="H15" s="43" t="s">
        <v>1</v>
      </c>
    </row>
    <row r="16" spans="1:8" ht="15.6" customHeight="1" x14ac:dyDescent="0.3">
      <c r="A16" s="237">
        <v>0.9</v>
      </c>
      <c r="B16" s="237"/>
      <c r="C16" s="79">
        <v>79</v>
      </c>
      <c r="D16" s="79">
        <v>35</v>
      </c>
      <c r="E16" s="79">
        <v>2.35</v>
      </c>
      <c r="F16" s="79">
        <v>164</v>
      </c>
      <c r="G16" s="42">
        <f t="shared" ref="G16:G22" si="0">1/E16</f>
        <v>0.42553191489361702</v>
      </c>
      <c r="H16" s="41">
        <f t="shared" ref="H16:H21" si="1">E16*F16</f>
        <v>385.40000000000003</v>
      </c>
    </row>
    <row r="17" spans="1:8" ht="18" customHeight="1" x14ac:dyDescent="0.3">
      <c r="A17" s="237">
        <v>0.8</v>
      </c>
      <c r="B17" s="237"/>
      <c r="C17" s="79">
        <v>70</v>
      </c>
      <c r="D17" s="79">
        <v>35</v>
      </c>
      <c r="E17" s="79">
        <v>2.6</v>
      </c>
      <c r="F17" s="79">
        <v>155</v>
      </c>
      <c r="G17" s="42">
        <f t="shared" si="0"/>
        <v>0.38461538461538458</v>
      </c>
      <c r="H17" s="41">
        <f t="shared" si="1"/>
        <v>403</v>
      </c>
    </row>
    <row r="18" spans="1:8" ht="17.399999999999999" customHeight="1" x14ac:dyDescent="0.3">
      <c r="A18" s="237">
        <v>0.7</v>
      </c>
      <c r="B18" s="237"/>
      <c r="C18" s="79">
        <v>62</v>
      </c>
      <c r="D18" s="79">
        <v>35</v>
      </c>
      <c r="E18" s="79">
        <v>2.69</v>
      </c>
      <c r="F18" s="79">
        <v>150</v>
      </c>
      <c r="G18" s="42">
        <f t="shared" si="0"/>
        <v>0.37174721189591081</v>
      </c>
      <c r="H18" s="41">
        <f t="shared" si="1"/>
        <v>403.5</v>
      </c>
    </row>
    <row r="19" spans="1:8" ht="19.8" customHeight="1" x14ac:dyDescent="0.3">
      <c r="A19" s="237">
        <v>0.6</v>
      </c>
      <c r="B19" s="237"/>
      <c r="C19" s="79">
        <v>52</v>
      </c>
      <c r="D19" s="79">
        <v>35</v>
      </c>
      <c r="E19" s="79">
        <v>3.25</v>
      </c>
      <c r="F19" s="79">
        <v>142</v>
      </c>
      <c r="G19" s="42">
        <f t="shared" si="0"/>
        <v>0.30769230769230771</v>
      </c>
      <c r="H19" s="41">
        <f t="shared" si="1"/>
        <v>461.5</v>
      </c>
    </row>
    <row r="20" spans="1:8" ht="20.399999999999999" customHeight="1" x14ac:dyDescent="0.3">
      <c r="A20" s="237">
        <v>0.5</v>
      </c>
      <c r="B20" s="237"/>
      <c r="C20" s="79">
        <v>42</v>
      </c>
      <c r="D20" s="79">
        <v>35</v>
      </c>
      <c r="E20" s="79">
        <v>3.85</v>
      </c>
      <c r="F20" s="79">
        <v>133</v>
      </c>
      <c r="G20" s="42">
        <f t="shared" si="0"/>
        <v>0.25974025974025972</v>
      </c>
      <c r="H20" s="41">
        <f t="shared" si="1"/>
        <v>512.05000000000007</v>
      </c>
    </row>
    <row r="21" spans="1:8" ht="22.2" customHeight="1" x14ac:dyDescent="0.3">
      <c r="A21" s="237">
        <v>0.3</v>
      </c>
      <c r="B21" s="237"/>
      <c r="C21" s="79">
        <v>26</v>
      </c>
      <c r="D21" s="79">
        <v>35</v>
      </c>
      <c r="E21" s="79">
        <v>6.2</v>
      </c>
      <c r="F21" s="79">
        <v>111</v>
      </c>
      <c r="G21" s="42">
        <f t="shared" si="0"/>
        <v>0.16129032258064516</v>
      </c>
      <c r="H21" s="41">
        <f t="shared" si="1"/>
        <v>688.2</v>
      </c>
    </row>
    <row r="22" spans="1:8" ht="21.6" customHeight="1" x14ac:dyDescent="0.3">
      <c r="A22" s="237">
        <v>0.1</v>
      </c>
      <c r="B22" s="237"/>
      <c r="C22" s="79">
        <v>9.6999999999999993</v>
      </c>
      <c r="D22" s="79">
        <v>35</v>
      </c>
      <c r="E22" s="79">
        <v>22.63</v>
      </c>
      <c r="F22" s="79">
        <v>95</v>
      </c>
      <c r="G22" s="42">
        <f t="shared" si="0"/>
        <v>4.4189129474149359E-2</v>
      </c>
      <c r="H22" s="41">
        <f>E22*F22</f>
        <v>2149.85</v>
      </c>
    </row>
    <row r="23" spans="1:8" x14ac:dyDescent="0.3">
      <c r="A23" s="30"/>
      <c r="B23" s="30"/>
      <c r="C23" s="30"/>
      <c r="D23" s="30"/>
      <c r="E23" s="30"/>
      <c r="F23" s="30"/>
      <c r="G23" s="30"/>
      <c r="H23" s="30"/>
    </row>
    <row r="24" spans="1:8" x14ac:dyDescent="0.3">
      <c r="A24" s="30"/>
      <c r="B24" s="30"/>
      <c r="C24" s="30"/>
      <c r="D24" s="30"/>
      <c r="E24" s="30"/>
      <c r="F24" s="30"/>
      <c r="G24" s="30"/>
      <c r="H24" s="30"/>
    </row>
    <row r="25" spans="1:8" x14ac:dyDescent="0.3">
      <c r="A25" s="30"/>
      <c r="B25" s="30"/>
      <c r="C25" s="30"/>
      <c r="D25" s="30"/>
      <c r="E25" s="30"/>
      <c r="F25" s="30"/>
      <c r="G25" s="30"/>
      <c r="H25" s="30"/>
    </row>
    <row r="26" spans="1:8" x14ac:dyDescent="0.3">
      <c r="A26" s="30"/>
      <c r="B26" s="30"/>
      <c r="C26" s="30"/>
      <c r="D26" s="30"/>
      <c r="E26" s="30"/>
      <c r="F26" s="30"/>
      <c r="G26" s="30"/>
      <c r="H26" s="30"/>
    </row>
    <row r="27" spans="1:8" x14ac:dyDescent="0.3">
      <c r="A27" s="30"/>
      <c r="B27" s="30"/>
      <c r="C27" s="30"/>
      <c r="D27" s="30"/>
      <c r="E27" s="30"/>
      <c r="F27" s="30"/>
      <c r="G27" s="30"/>
      <c r="H27" s="30"/>
    </row>
    <row r="28" spans="1:8" x14ac:dyDescent="0.3">
      <c r="A28" s="30"/>
      <c r="B28" s="30"/>
      <c r="C28" s="30"/>
      <c r="D28" s="30"/>
      <c r="E28" s="30"/>
      <c r="F28" s="30"/>
      <c r="G28" s="30"/>
      <c r="H28" s="30"/>
    </row>
    <row r="29" spans="1:8" x14ac:dyDescent="0.3">
      <c r="A29" s="30"/>
      <c r="B29" s="30"/>
      <c r="C29" s="30"/>
      <c r="D29" s="30"/>
      <c r="E29" s="30"/>
      <c r="F29" s="30"/>
      <c r="G29" s="30"/>
      <c r="H29" s="30"/>
    </row>
    <row r="30" spans="1:8" ht="18" customHeight="1" x14ac:dyDescent="0.3">
      <c r="A30" s="30"/>
      <c r="B30" s="30"/>
      <c r="C30" s="30"/>
      <c r="D30" s="30"/>
      <c r="E30" s="30"/>
      <c r="F30" s="30"/>
      <c r="G30" s="30"/>
      <c r="H30" s="30"/>
    </row>
    <row r="31" spans="1:8" ht="18" customHeight="1" x14ac:dyDescent="0.3">
      <c r="A31" s="30"/>
      <c r="B31" s="30"/>
      <c r="C31" s="30"/>
      <c r="D31" s="30"/>
      <c r="E31" s="30"/>
      <c r="F31" s="30"/>
      <c r="G31" s="30"/>
      <c r="H31" s="30"/>
    </row>
    <row r="32" spans="1:8" x14ac:dyDescent="0.3">
      <c r="A32" s="30"/>
      <c r="B32" s="30"/>
      <c r="C32" s="30"/>
      <c r="D32" s="30"/>
      <c r="E32" s="30"/>
      <c r="F32" s="30"/>
      <c r="G32" s="30"/>
      <c r="H32" s="30"/>
    </row>
    <row r="33" spans="1:8" ht="6.6" customHeight="1" x14ac:dyDescent="0.3">
      <c r="A33" s="30"/>
      <c r="B33" s="30"/>
      <c r="C33" s="30"/>
      <c r="D33" s="30"/>
      <c r="E33" s="30"/>
      <c r="F33" s="30"/>
      <c r="G33" s="30"/>
      <c r="H33" s="30"/>
    </row>
    <row r="34" spans="1:8" ht="2.4" customHeight="1" x14ac:dyDescent="0.3">
      <c r="A34" s="30"/>
      <c r="B34" s="30"/>
      <c r="C34" s="30"/>
      <c r="D34" s="30"/>
      <c r="E34" s="30"/>
      <c r="F34" s="30"/>
      <c r="G34" s="30"/>
      <c r="H34" s="30"/>
    </row>
    <row r="35" spans="1:8" hidden="1" x14ac:dyDescent="0.3">
      <c r="A35" s="30"/>
      <c r="B35" s="30"/>
      <c r="C35" s="30"/>
      <c r="D35" s="30"/>
      <c r="E35" s="30"/>
      <c r="F35" s="30"/>
      <c r="G35" s="30"/>
      <c r="H35" s="30"/>
    </row>
    <row r="36" spans="1:8" ht="16.2" customHeight="1" x14ac:dyDescent="0.3">
      <c r="A36" s="30"/>
      <c r="B36" s="30"/>
      <c r="C36" s="30"/>
      <c r="D36" s="30"/>
      <c r="E36" s="30"/>
      <c r="F36" s="30"/>
      <c r="G36" s="30"/>
      <c r="H36" s="30"/>
    </row>
    <row r="37" spans="1:8" ht="14.4" customHeight="1" x14ac:dyDescent="0.3">
      <c r="A37" s="30"/>
      <c r="B37" s="30"/>
      <c r="C37" s="30"/>
      <c r="D37" s="30"/>
      <c r="E37" s="30"/>
      <c r="F37" s="30"/>
      <c r="G37" s="30"/>
      <c r="H37" s="30"/>
    </row>
    <row r="38" spans="1:8" ht="32.4" customHeight="1" x14ac:dyDescent="0.3">
      <c r="A38" s="30"/>
      <c r="B38" s="250" t="s">
        <v>306</v>
      </c>
      <c r="C38" s="250"/>
      <c r="D38" s="250"/>
      <c r="E38" s="30"/>
      <c r="F38" s="30"/>
      <c r="G38" s="30"/>
      <c r="H38" s="30"/>
    </row>
    <row r="39" spans="1:8" ht="28.8" customHeight="1" x14ac:dyDescent="0.3">
      <c r="A39" s="30"/>
      <c r="B39" s="83" t="s">
        <v>307</v>
      </c>
      <c r="C39" s="251" t="s">
        <v>185</v>
      </c>
      <c r="D39" s="251"/>
      <c r="E39" s="30"/>
      <c r="F39" s="30"/>
      <c r="G39" s="30"/>
      <c r="H39" s="30"/>
    </row>
    <row r="40" spans="1:8" ht="26.4" customHeight="1" x14ac:dyDescent="0.3">
      <c r="A40" s="30"/>
      <c r="B40" s="32" t="s">
        <v>215</v>
      </c>
      <c r="C40" s="251" t="s">
        <v>214</v>
      </c>
      <c r="D40" s="251"/>
      <c r="E40" s="30"/>
      <c r="F40" s="30"/>
      <c r="G40" s="30"/>
      <c r="H40" s="30"/>
    </row>
    <row r="41" spans="1:8" x14ac:dyDescent="0.3">
      <c r="A41" s="30"/>
      <c r="B41" s="30"/>
      <c r="C41" s="30"/>
      <c r="D41" s="30"/>
      <c r="E41" s="30"/>
      <c r="F41" s="30"/>
      <c r="G41" s="30"/>
      <c r="H41" s="30"/>
    </row>
    <row r="42" spans="1:8" x14ac:dyDescent="0.3">
      <c r="A42" s="30"/>
      <c r="B42" s="30"/>
      <c r="C42" s="30"/>
      <c r="D42" s="30"/>
      <c r="E42" s="30"/>
      <c r="F42" s="30"/>
      <c r="G42" s="30"/>
      <c r="H42" s="30"/>
    </row>
  </sheetData>
  <mergeCells count="20">
    <mergeCell ref="B38:D38"/>
    <mergeCell ref="C39:D39"/>
    <mergeCell ref="C40:D40"/>
    <mergeCell ref="A22:B22"/>
    <mergeCell ref="A20:B20"/>
    <mergeCell ref="A21:B21"/>
    <mergeCell ref="A19:B19"/>
    <mergeCell ref="A1:H1"/>
    <mergeCell ref="A3:H11"/>
    <mergeCell ref="A12:H12"/>
    <mergeCell ref="D13:D14"/>
    <mergeCell ref="E13:E14"/>
    <mergeCell ref="F13:F14"/>
    <mergeCell ref="G13:G14"/>
    <mergeCell ref="H13:H14"/>
    <mergeCell ref="A13:C14"/>
    <mergeCell ref="A15:B15"/>
    <mergeCell ref="A16:B16"/>
    <mergeCell ref="A17:B17"/>
    <mergeCell ref="A18:B18"/>
  </mergeCells>
  <dataValidations disablePrompts="1" count="1">
    <dataValidation type="list" allowBlank="1" showInputMessage="1" showErrorMessage="1" sqref="F15" xr:uid="{EDBB5009-FC8B-4D11-B09F-458A3560F8BE}">
      <formula1>"Mpa,Bar"</formula1>
    </dataValidation>
  </dataValidations>
  <pageMargins left="0.67500000000000004" right="0.43560606060606061" top="0.75" bottom="0.75" header="0.3" footer="0.3"/>
  <pageSetup paperSize="9" scale="78"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A72EA-06E0-45AE-BD44-AB0BBF316867}">
  <dimension ref="A1:H43"/>
  <sheetViews>
    <sheetView view="pageBreakPreview" topLeftCell="A23" zoomScaleNormal="100" zoomScaleSheetLayoutView="100" workbookViewId="0">
      <selection activeCell="A3" sqref="A3:H18"/>
    </sheetView>
  </sheetViews>
  <sheetFormatPr defaultColWidth="10.88671875" defaultRowHeight="14.4" x14ac:dyDescent="0.3"/>
  <cols>
    <col min="1" max="1" width="12.21875" customWidth="1"/>
    <col min="2" max="2" width="8.44140625" customWidth="1"/>
    <col min="3" max="3" width="19.21875" customWidth="1"/>
    <col min="4" max="4" width="9.44140625" customWidth="1"/>
    <col min="5" max="5" width="14" customWidth="1"/>
    <col min="6" max="6" width="14.88671875" customWidth="1"/>
    <col min="7" max="7" width="12.77734375" customWidth="1"/>
    <col min="8" max="8" width="18.5546875" customWidth="1"/>
  </cols>
  <sheetData>
    <row r="1" spans="1:8" ht="31.2" x14ac:dyDescent="0.6">
      <c r="A1" s="252" t="s">
        <v>308</v>
      </c>
      <c r="B1" s="252"/>
      <c r="C1" s="252"/>
      <c r="D1" s="252"/>
      <c r="E1" s="252"/>
      <c r="F1" s="252"/>
      <c r="G1" s="252"/>
      <c r="H1" s="252"/>
    </row>
    <row r="2" spans="1:8" ht="6.6" customHeight="1" x14ac:dyDescent="0.6">
      <c r="A2" s="258"/>
      <c r="B2" s="258"/>
      <c r="C2" s="258"/>
      <c r="D2" s="258"/>
      <c r="E2" s="258"/>
      <c r="F2" s="258"/>
      <c r="G2" s="258"/>
      <c r="H2" s="258"/>
    </row>
    <row r="3" spans="1:8" ht="32.4" customHeight="1" x14ac:dyDescent="0.3">
      <c r="A3" s="253" t="s">
        <v>309</v>
      </c>
      <c r="B3" s="253"/>
      <c r="C3" s="253"/>
      <c r="D3" s="253"/>
      <c r="E3" s="253"/>
      <c r="F3" s="253"/>
      <c r="G3" s="253"/>
      <c r="H3" s="253"/>
    </row>
    <row r="4" spans="1:8" x14ac:dyDescent="0.3">
      <c r="A4" s="254"/>
      <c r="B4" s="254"/>
      <c r="C4" s="254"/>
      <c r="D4" s="254"/>
      <c r="E4" s="254"/>
      <c r="F4" s="254"/>
      <c r="G4" s="254"/>
      <c r="H4" s="254"/>
    </row>
    <row r="5" spans="1:8" x14ac:dyDescent="0.3">
      <c r="A5" s="254"/>
      <c r="B5" s="254"/>
      <c r="C5" s="254"/>
      <c r="D5" s="254"/>
      <c r="E5" s="254"/>
      <c r="F5" s="254"/>
      <c r="G5" s="254"/>
      <c r="H5" s="254"/>
    </row>
    <row r="6" spans="1:8" x14ac:dyDescent="0.3">
      <c r="A6" s="254"/>
      <c r="B6" s="254"/>
      <c r="C6" s="254"/>
      <c r="D6" s="254"/>
      <c r="E6" s="254"/>
      <c r="F6" s="254"/>
      <c r="G6" s="254"/>
      <c r="H6" s="254"/>
    </row>
    <row r="7" spans="1:8" x14ac:dyDescent="0.3">
      <c r="A7" s="254"/>
      <c r="B7" s="254"/>
      <c r="C7" s="254"/>
      <c r="D7" s="254"/>
      <c r="E7" s="254"/>
      <c r="F7" s="254"/>
      <c r="G7" s="254"/>
      <c r="H7" s="254"/>
    </row>
    <row r="8" spans="1:8" x14ac:dyDescent="0.3">
      <c r="A8" s="254"/>
      <c r="B8" s="254"/>
      <c r="C8" s="254"/>
      <c r="D8" s="254"/>
      <c r="E8" s="254"/>
      <c r="F8" s="254"/>
      <c r="G8" s="254"/>
      <c r="H8" s="254"/>
    </row>
    <row r="9" spans="1:8" ht="25.8" customHeight="1" x14ac:dyDescent="0.3">
      <c r="A9" s="254"/>
      <c r="B9" s="254"/>
      <c r="C9" s="254"/>
      <c r="D9" s="254"/>
      <c r="E9" s="254"/>
      <c r="F9" s="254"/>
      <c r="G9" s="254"/>
      <c r="H9" s="254"/>
    </row>
    <row r="10" spans="1:8" ht="21" customHeight="1" x14ac:dyDescent="0.3">
      <c r="A10" s="254"/>
      <c r="B10" s="254"/>
      <c r="C10" s="254"/>
      <c r="D10" s="254"/>
      <c r="E10" s="254"/>
      <c r="F10" s="254"/>
      <c r="G10" s="254"/>
      <c r="H10" s="254"/>
    </row>
    <row r="11" spans="1:8" ht="18" customHeight="1" x14ac:dyDescent="0.3">
      <c r="A11" s="254"/>
      <c r="B11" s="254"/>
      <c r="C11" s="254"/>
      <c r="D11" s="254"/>
      <c r="E11" s="254"/>
      <c r="F11" s="254"/>
      <c r="G11" s="254"/>
      <c r="H11" s="254"/>
    </row>
    <row r="12" spans="1:8" x14ac:dyDescent="0.3">
      <c r="A12" s="254"/>
      <c r="B12" s="254"/>
      <c r="C12" s="254"/>
      <c r="D12" s="254"/>
      <c r="E12" s="254"/>
      <c r="F12" s="254"/>
      <c r="G12" s="254"/>
      <c r="H12" s="254"/>
    </row>
    <row r="13" spans="1:8" ht="19.2" customHeight="1" x14ac:dyDescent="0.3">
      <c r="A13" s="254"/>
      <c r="B13" s="254"/>
      <c r="C13" s="254"/>
      <c r="D13" s="254"/>
      <c r="E13" s="254"/>
      <c r="F13" s="254"/>
      <c r="G13" s="254"/>
      <c r="H13" s="254"/>
    </row>
    <row r="14" spans="1:8" x14ac:dyDescent="0.3">
      <c r="A14" s="254"/>
      <c r="B14" s="254"/>
      <c r="C14" s="254"/>
      <c r="D14" s="254"/>
      <c r="E14" s="254"/>
      <c r="F14" s="254"/>
      <c r="G14" s="254"/>
      <c r="H14" s="254"/>
    </row>
    <row r="15" spans="1:8" x14ac:dyDescent="0.3">
      <c r="A15" s="254"/>
      <c r="B15" s="254"/>
      <c r="C15" s="254"/>
      <c r="D15" s="254"/>
      <c r="E15" s="254"/>
      <c r="F15" s="254"/>
      <c r="G15" s="254"/>
      <c r="H15" s="254"/>
    </row>
    <row r="16" spans="1:8" x14ac:dyDescent="0.3">
      <c r="A16" s="254"/>
      <c r="B16" s="254"/>
      <c r="C16" s="254"/>
      <c r="D16" s="254"/>
      <c r="E16" s="254"/>
      <c r="F16" s="254"/>
      <c r="G16" s="254"/>
      <c r="H16" s="254"/>
    </row>
    <row r="17" spans="1:8" x14ac:dyDescent="0.3">
      <c r="A17" s="254"/>
      <c r="B17" s="254"/>
      <c r="C17" s="254"/>
      <c r="D17" s="254"/>
      <c r="E17" s="254"/>
      <c r="F17" s="254"/>
      <c r="G17" s="254"/>
      <c r="H17" s="254"/>
    </row>
    <row r="18" spans="1:8" ht="169.8" customHeight="1" x14ac:dyDescent="0.3">
      <c r="A18" s="254"/>
      <c r="B18" s="254"/>
      <c r="C18" s="254"/>
      <c r="D18" s="254"/>
      <c r="E18" s="254"/>
      <c r="F18" s="254"/>
      <c r="G18" s="254"/>
      <c r="H18" s="254"/>
    </row>
    <row r="19" spans="1:8" x14ac:dyDescent="0.3">
      <c r="A19" s="30"/>
      <c r="B19" s="30"/>
      <c r="C19" s="30"/>
      <c r="D19" s="30"/>
      <c r="E19" s="30"/>
      <c r="F19" s="30"/>
      <c r="G19" s="30"/>
      <c r="H19" s="30"/>
    </row>
    <row r="20" spans="1:8" ht="22.8" customHeight="1" x14ac:dyDescent="0.3">
      <c r="A20" s="30"/>
      <c r="B20" s="255" t="s">
        <v>310</v>
      </c>
      <c r="C20" s="255"/>
      <c r="D20" s="37" t="s">
        <v>79</v>
      </c>
      <c r="E20" s="30"/>
      <c r="F20" s="30"/>
      <c r="G20" s="30"/>
      <c r="H20" s="30"/>
    </row>
    <row r="21" spans="1:8" ht="28.2" customHeight="1" x14ac:dyDescent="0.3">
      <c r="A21" s="30"/>
      <c r="B21" s="30"/>
      <c r="C21" s="30"/>
      <c r="D21" s="38" t="s">
        <v>311</v>
      </c>
      <c r="E21" s="37" t="s">
        <v>312</v>
      </c>
      <c r="F21" s="37" t="s">
        <v>313</v>
      </c>
      <c r="G21" s="30"/>
      <c r="H21" s="30"/>
    </row>
    <row r="22" spans="1:8" ht="25.2" customHeight="1" x14ac:dyDescent="0.3">
      <c r="A22" s="30"/>
      <c r="B22" s="30"/>
      <c r="C22" s="30"/>
      <c r="D22" s="36">
        <v>1</v>
      </c>
      <c r="E22" s="39" t="s">
        <v>314</v>
      </c>
      <c r="F22" s="40" t="s">
        <v>212</v>
      </c>
      <c r="G22" s="30"/>
      <c r="H22" s="30"/>
    </row>
    <row r="23" spans="1:8" ht="20.399999999999999" customHeight="1" x14ac:dyDescent="0.3">
      <c r="A23" s="30"/>
      <c r="B23" s="30"/>
      <c r="C23" s="30"/>
      <c r="D23" s="36">
        <v>2</v>
      </c>
      <c r="E23" s="39" t="s">
        <v>315</v>
      </c>
      <c r="F23" s="40">
        <v>49</v>
      </c>
      <c r="G23" s="30"/>
      <c r="H23" s="30"/>
    </row>
    <row r="24" spans="1:8" ht="24.6" customHeight="1" x14ac:dyDescent="0.3">
      <c r="A24" s="30"/>
      <c r="B24" s="30"/>
      <c r="C24" s="30"/>
      <c r="D24" s="36">
        <v>3</v>
      </c>
      <c r="E24" s="39" t="s">
        <v>316</v>
      </c>
      <c r="F24" s="40">
        <v>63</v>
      </c>
      <c r="G24" s="30"/>
      <c r="H24" s="30"/>
    </row>
    <row r="25" spans="1:8" ht="25.8" customHeight="1" x14ac:dyDescent="0.3">
      <c r="A25" s="30"/>
      <c r="B25" s="30"/>
      <c r="C25" s="30"/>
      <c r="D25" s="36">
        <v>4</v>
      </c>
      <c r="E25" s="39" t="s">
        <v>317</v>
      </c>
      <c r="F25" s="40">
        <v>151</v>
      </c>
      <c r="G25" s="30"/>
      <c r="H25" s="30"/>
    </row>
    <row r="26" spans="1:8" ht="29.4" customHeight="1" x14ac:dyDescent="0.3">
      <c r="A26" s="30"/>
      <c r="B26" s="30"/>
      <c r="C26" s="30"/>
      <c r="D26" s="36">
        <v>5</v>
      </c>
      <c r="E26" s="39" t="s">
        <v>318</v>
      </c>
      <c r="F26" s="40">
        <v>160</v>
      </c>
      <c r="G26" s="30"/>
      <c r="H26" s="30"/>
    </row>
    <row r="27" spans="1:8" x14ac:dyDescent="0.3">
      <c r="A27" s="30"/>
      <c r="B27" s="30"/>
      <c r="C27" s="30"/>
      <c r="D27" s="30"/>
      <c r="E27" s="30"/>
      <c r="F27" s="30"/>
      <c r="G27" s="30"/>
      <c r="H27" s="30"/>
    </row>
    <row r="28" spans="1:8" x14ac:dyDescent="0.3">
      <c r="A28" s="30"/>
      <c r="B28" s="30"/>
      <c r="C28" s="30"/>
      <c r="D28" s="30"/>
      <c r="E28" s="30"/>
      <c r="F28" s="30"/>
      <c r="G28" s="30"/>
      <c r="H28" s="30"/>
    </row>
    <row r="29" spans="1:8" x14ac:dyDescent="0.3">
      <c r="A29" s="30"/>
      <c r="B29" s="30"/>
      <c r="C29" s="30"/>
      <c r="D29" s="30"/>
      <c r="E29" s="30"/>
      <c r="F29" s="30"/>
      <c r="G29" s="30"/>
      <c r="H29" s="30"/>
    </row>
    <row r="30" spans="1:8" x14ac:dyDescent="0.3">
      <c r="A30" s="30"/>
      <c r="B30" s="30"/>
      <c r="C30" s="30"/>
      <c r="D30" s="30"/>
      <c r="E30" s="30"/>
      <c r="F30" s="30"/>
      <c r="G30" s="30"/>
      <c r="H30" s="30"/>
    </row>
    <row r="31" spans="1:8" x14ac:dyDescent="0.3">
      <c r="A31" s="30"/>
      <c r="B31" s="30"/>
      <c r="C31" s="30"/>
      <c r="D31" s="30"/>
      <c r="E31" s="30"/>
      <c r="F31" s="30"/>
      <c r="G31" s="30"/>
      <c r="H31" s="30"/>
    </row>
    <row r="32" spans="1:8" x14ac:dyDescent="0.3">
      <c r="A32" s="30"/>
      <c r="B32" s="30"/>
      <c r="C32" s="30"/>
      <c r="D32" s="30"/>
      <c r="E32" s="30"/>
      <c r="F32" s="30"/>
      <c r="G32" s="30"/>
      <c r="H32" s="30"/>
    </row>
    <row r="33" spans="1:8" x14ac:dyDescent="0.3">
      <c r="A33" s="30"/>
      <c r="B33" s="30"/>
      <c r="C33" s="30"/>
      <c r="D33" s="30"/>
      <c r="E33" s="30"/>
      <c r="F33" s="30"/>
      <c r="G33" s="30"/>
      <c r="H33" s="30"/>
    </row>
    <row r="34" spans="1:8" x14ac:dyDescent="0.3">
      <c r="A34" s="30"/>
      <c r="B34" s="30"/>
      <c r="C34" s="30"/>
      <c r="D34" s="30"/>
      <c r="E34" s="30"/>
      <c r="F34" s="30"/>
      <c r="G34" s="30"/>
      <c r="H34" s="30"/>
    </row>
    <row r="35" spans="1:8" x14ac:dyDescent="0.3">
      <c r="A35" s="30"/>
      <c r="B35" s="30"/>
      <c r="C35" s="30"/>
      <c r="D35" s="30"/>
      <c r="E35" s="30"/>
      <c r="F35" s="30"/>
      <c r="G35" s="30"/>
      <c r="H35" s="30"/>
    </row>
    <row r="36" spans="1:8" x14ac:dyDescent="0.3">
      <c r="A36" s="30"/>
      <c r="B36" s="30"/>
      <c r="C36" s="30"/>
      <c r="D36" s="30"/>
      <c r="E36" s="30"/>
      <c r="F36" s="30"/>
      <c r="G36" s="30"/>
      <c r="H36" s="30"/>
    </row>
    <row r="37" spans="1:8" x14ac:dyDescent="0.3">
      <c r="A37" s="30"/>
      <c r="B37" s="30"/>
      <c r="C37" s="30"/>
      <c r="D37" s="30"/>
      <c r="E37" s="30"/>
      <c r="F37" s="30"/>
      <c r="G37" s="30"/>
      <c r="H37" s="30"/>
    </row>
    <row r="38" spans="1:8" x14ac:dyDescent="0.3">
      <c r="A38" s="30"/>
      <c r="B38" s="30"/>
      <c r="C38" s="30"/>
      <c r="D38" s="30"/>
      <c r="E38" s="30"/>
      <c r="F38" s="30"/>
      <c r="G38" s="30"/>
      <c r="H38" s="30"/>
    </row>
    <row r="39" spans="1:8" ht="34.200000000000003" customHeight="1" x14ac:dyDescent="0.3">
      <c r="A39" s="30"/>
      <c r="B39" s="30"/>
      <c r="C39" s="30"/>
      <c r="D39" s="30"/>
      <c r="E39" s="30"/>
      <c r="F39" s="30"/>
      <c r="G39" s="30"/>
      <c r="H39" s="30"/>
    </row>
    <row r="40" spans="1:8" ht="67.2" customHeight="1" x14ac:dyDescent="0.3">
      <c r="A40" s="93" t="s">
        <v>319</v>
      </c>
      <c r="B40" s="65">
        <f>F26</f>
        <v>160</v>
      </c>
      <c r="C40" s="93" t="s">
        <v>320</v>
      </c>
      <c r="D40" s="66">
        <f>B40/'MILScientific Injection Molding'!G19</f>
        <v>0.96969696969696972</v>
      </c>
      <c r="F40" s="30"/>
      <c r="G40" s="30"/>
      <c r="H40" s="30"/>
    </row>
    <row r="41" spans="1:8" ht="33.6" customHeight="1" x14ac:dyDescent="0.3">
      <c r="A41" s="256" t="s">
        <v>371</v>
      </c>
      <c r="B41" s="257"/>
      <c r="C41" s="257"/>
      <c r="D41" s="257"/>
      <c r="E41" s="257"/>
      <c r="F41" s="257"/>
      <c r="G41" s="257"/>
      <c r="H41" s="257"/>
    </row>
    <row r="42" spans="1:8" ht="43.2" customHeight="1" x14ac:dyDescent="0.3">
      <c r="A42" s="257"/>
      <c r="B42" s="257"/>
      <c r="C42" s="257"/>
      <c r="D42" s="257"/>
      <c r="E42" s="257"/>
      <c r="F42" s="257"/>
      <c r="G42" s="257"/>
      <c r="H42" s="257"/>
    </row>
    <row r="43" spans="1:8" ht="15.6" customHeight="1" x14ac:dyDescent="0.3">
      <c r="A43" s="257"/>
      <c r="B43" s="257"/>
      <c r="C43" s="257"/>
      <c r="D43" s="257"/>
      <c r="E43" s="257"/>
      <c r="F43" s="257"/>
      <c r="G43" s="257"/>
      <c r="H43" s="257"/>
    </row>
  </sheetData>
  <mergeCells count="5">
    <mergeCell ref="A1:H1"/>
    <mergeCell ref="A3:H18"/>
    <mergeCell ref="B20:C20"/>
    <mergeCell ref="A41:H43"/>
    <mergeCell ref="A2:H2"/>
  </mergeCells>
  <dataValidations count="2">
    <dataValidation type="list" allowBlank="1" showInputMessage="1" showErrorMessage="1" sqref="D20" xr:uid="{52EE3529-5C66-48BE-9158-38CB653387D7}">
      <formula1>"Mpa, Bar,Psi"</formula1>
    </dataValidation>
    <dataValidation type="list" allowBlank="1" showInputMessage="1" showErrorMessage="1" sqref="G40" xr:uid="{367CA777-E878-411D-ADCB-95B56D80B67D}">
      <formula1>"OK,NG"</formula1>
    </dataValidation>
  </dataValidations>
  <pageMargins left="0.7" right="0.7" top="0.75" bottom="0.75" header="0.3" footer="0.3"/>
  <pageSetup paperSize="9" scale="72"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44FB39-2227-417C-838D-972DBAD33882}">
  <dimension ref="A1:O44"/>
  <sheetViews>
    <sheetView view="pageBreakPreview" topLeftCell="A25" zoomScaleNormal="100" zoomScaleSheetLayoutView="100" workbookViewId="0">
      <selection activeCell="A24" sqref="A24:O24"/>
    </sheetView>
  </sheetViews>
  <sheetFormatPr defaultColWidth="9.6640625" defaultRowHeight="14.4" x14ac:dyDescent="0.3"/>
  <cols>
    <col min="1" max="1" width="13.21875" customWidth="1"/>
    <col min="2" max="2" width="13" customWidth="1"/>
    <col min="3" max="3" width="7" customWidth="1"/>
    <col min="4" max="4" width="7.109375" customWidth="1"/>
    <col min="5" max="5" width="9.6640625" customWidth="1"/>
    <col min="6" max="6" width="9.44140625" customWidth="1"/>
    <col min="7" max="7" width="10.33203125" customWidth="1"/>
    <col min="8" max="8" width="10.44140625" customWidth="1"/>
    <col min="9" max="9" width="4.44140625" customWidth="1"/>
    <col min="10" max="10" width="12" customWidth="1"/>
    <col min="11" max="11" width="12.6640625" customWidth="1"/>
    <col min="12" max="12" width="7.88671875" customWidth="1"/>
    <col min="13" max="13" width="7.77734375" customWidth="1"/>
    <col min="14" max="14" width="8.6640625" customWidth="1"/>
    <col min="15" max="15" width="12.109375" customWidth="1"/>
  </cols>
  <sheetData>
    <row r="1" spans="1:15" ht="25.2" customHeight="1" x14ac:dyDescent="0.55000000000000004">
      <c r="A1" s="259" t="s">
        <v>323</v>
      </c>
      <c r="B1" s="259"/>
      <c r="C1" s="259"/>
      <c r="D1" s="259"/>
      <c r="E1" s="259"/>
      <c r="F1" s="259"/>
      <c r="G1" s="259"/>
      <c r="H1" s="259"/>
      <c r="I1" s="259"/>
      <c r="J1" s="259"/>
      <c r="K1" s="259"/>
      <c r="L1" s="259"/>
      <c r="M1" s="259"/>
      <c r="N1" s="259"/>
      <c r="O1" s="259"/>
    </row>
    <row r="2" spans="1:15" ht="4.8" customHeight="1" x14ac:dyDescent="0.3">
      <c r="A2" s="200"/>
      <c r="B2" s="200"/>
      <c r="C2" s="200"/>
      <c r="D2" s="200"/>
      <c r="E2" s="200"/>
      <c r="F2" s="200"/>
      <c r="G2" s="200"/>
      <c r="H2" s="200"/>
      <c r="I2" s="200"/>
      <c r="J2" s="200"/>
      <c r="K2" s="200"/>
      <c r="L2" s="200"/>
      <c r="M2" s="200"/>
      <c r="N2" s="200"/>
      <c r="O2" s="200"/>
    </row>
    <row r="3" spans="1:15" ht="21" customHeight="1" x14ac:dyDescent="0.3">
      <c r="A3" s="260" t="s">
        <v>324</v>
      </c>
      <c r="B3" s="260"/>
      <c r="C3" s="260"/>
      <c r="D3" s="260"/>
      <c r="E3" s="260"/>
      <c r="F3" s="260"/>
      <c r="G3" s="260"/>
      <c r="H3" s="260"/>
      <c r="I3" s="260"/>
      <c r="J3" s="260"/>
      <c r="K3" s="260"/>
      <c r="L3" s="260"/>
      <c r="M3" s="260"/>
      <c r="N3" s="260"/>
      <c r="O3" s="260"/>
    </row>
    <row r="4" spans="1:15" ht="18.600000000000001" customHeight="1" x14ac:dyDescent="0.3">
      <c r="A4" s="261" t="s">
        <v>395</v>
      </c>
      <c r="B4" s="262"/>
      <c r="C4" s="262"/>
      <c r="D4" s="262"/>
      <c r="E4" s="262"/>
      <c r="F4" s="262"/>
      <c r="G4" s="262"/>
      <c r="H4" s="262"/>
      <c r="I4" s="262"/>
      <c r="J4" s="262"/>
      <c r="K4" s="262"/>
      <c r="L4" s="262"/>
      <c r="M4" s="262"/>
      <c r="N4" s="262"/>
      <c r="O4" s="262"/>
    </row>
    <row r="5" spans="1:15" ht="14.4" customHeight="1" x14ac:dyDescent="0.3">
      <c r="A5" s="262"/>
      <c r="B5" s="262"/>
      <c r="C5" s="262"/>
      <c r="D5" s="262"/>
      <c r="E5" s="262"/>
      <c r="F5" s="262"/>
      <c r="G5" s="262"/>
      <c r="H5" s="262"/>
      <c r="I5" s="262"/>
      <c r="J5" s="262"/>
      <c r="K5" s="262"/>
      <c r="L5" s="262"/>
      <c r="M5" s="262"/>
      <c r="N5" s="262"/>
      <c r="O5" s="262"/>
    </row>
    <row r="6" spans="1:15" ht="27" customHeight="1" x14ac:dyDescent="0.3">
      <c r="A6" s="262"/>
      <c r="B6" s="262"/>
      <c r="C6" s="262"/>
      <c r="D6" s="262"/>
      <c r="E6" s="262"/>
      <c r="F6" s="262"/>
      <c r="G6" s="262"/>
      <c r="H6" s="262"/>
      <c r="I6" s="262"/>
      <c r="J6" s="262"/>
      <c r="K6" s="262"/>
      <c r="L6" s="262"/>
      <c r="M6" s="262"/>
      <c r="N6" s="262"/>
      <c r="O6" s="262"/>
    </row>
    <row r="7" spans="1:15" ht="14.4" customHeight="1" x14ac:dyDescent="0.3">
      <c r="A7" s="262"/>
      <c r="B7" s="262"/>
      <c r="C7" s="262"/>
      <c r="D7" s="262"/>
      <c r="E7" s="262"/>
      <c r="F7" s="262"/>
      <c r="G7" s="262"/>
      <c r="H7" s="262"/>
      <c r="I7" s="262"/>
      <c r="J7" s="262"/>
      <c r="K7" s="262"/>
      <c r="L7" s="262"/>
      <c r="M7" s="262"/>
      <c r="N7" s="262"/>
      <c r="O7" s="262"/>
    </row>
    <row r="8" spans="1:15" ht="20.399999999999999" customHeight="1" x14ac:dyDescent="0.3">
      <c r="A8" s="262"/>
      <c r="B8" s="262"/>
      <c r="C8" s="262"/>
      <c r="D8" s="262"/>
      <c r="E8" s="262"/>
      <c r="F8" s="262"/>
      <c r="G8" s="262"/>
      <c r="H8" s="262"/>
      <c r="I8" s="262"/>
      <c r="J8" s="262"/>
      <c r="K8" s="262"/>
      <c r="L8" s="262"/>
      <c r="M8" s="262"/>
      <c r="N8" s="262"/>
      <c r="O8" s="262"/>
    </row>
    <row r="9" spans="1:15" ht="16.8" customHeight="1" x14ac:dyDescent="0.3">
      <c r="A9" s="262"/>
      <c r="B9" s="262"/>
      <c r="C9" s="262"/>
      <c r="D9" s="262"/>
      <c r="E9" s="262"/>
      <c r="F9" s="262"/>
      <c r="G9" s="262"/>
      <c r="H9" s="262"/>
      <c r="I9" s="262"/>
      <c r="J9" s="262"/>
      <c r="K9" s="262"/>
      <c r="L9" s="262"/>
      <c r="M9" s="262"/>
      <c r="N9" s="262"/>
      <c r="O9" s="262"/>
    </row>
    <row r="10" spans="1:15" ht="123.6" customHeight="1" x14ac:dyDescent="0.3">
      <c r="A10" s="262"/>
      <c r="B10" s="262"/>
      <c r="C10" s="262"/>
      <c r="D10" s="262"/>
      <c r="E10" s="262"/>
      <c r="F10" s="262"/>
      <c r="G10" s="262"/>
      <c r="H10" s="262"/>
      <c r="I10" s="262"/>
      <c r="J10" s="262"/>
      <c r="K10" s="262"/>
      <c r="L10" s="262"/>
      <c r="M10" s="262"/>
      <c r="N10" s="262"/>
      <c r="O10" s="262"/>
    </row>
    <row r="11" spans="1:15" ht="27.6" customHeight="1" x14ac:dyDescent="0.3">
      <c r="A11" s="267" t="s">
        <v>325</v>
      </c>
      <c r="B11" s="270"/>
      <c r="C11" s="270"/>
      <c r="D11" s="270"/>
      <c r="E11" s="270"/>
      <c r="F11" s="271"/>
      <c r="G11" s="30"/>
      <c r="H11" s="30"/>
      <c r="I11" s="111"/>
      <c r="J11" s="267" t="s">
        <v>326</v>
      </c>
      <c r="K11" s="268"/>
      <c r="L11" s="268"/>
      <c r="M11" s="268"/>
      <c r="N11" s="268"/>
      <c r="O11" s="269"/>
    </row>
    <row r="12" spans="1:15" ht="41.4" customHeight="1" x14ac:dyDescent="0.3">
      <c r="A12" s="44" t="s">
        <v>327</v>
      </c>
      <c r="B12" s="44" t="s">
        <v>335</v>
      </c>
      <c r="C12" s="45" t="s">
        <v>194</v>
      </c>
      <c r="D12" s="45" t="s">
        <v>193</v>
      </c>
      <c r="E12" s="45" t="s">
        <v>192</v>
      </c>
      <c r="F12" s="45" t="s">
        <v>338</v>
      </c>
      <c r="G12" s="30"/>
      <c r="H12" s="30"/>
      <c r="I12" s="30"/>
      <c r="J12" s="37" t="s">
        <v>328</v>
      </c>
      <c r="K12" s="44" t="s">
        <v>335</v>
      </c>
      <c r="L12" s="105" t="s">
        <v>194</v>
      </c>
      <c r="M12" s="105" t="s">
        <v>193</v>
      </c>
      <c r="N12" s="105" t="s">
        <v>192</v>
      </c>
      <c r="O12" s="105" t="s">
        <v>338</v>
      </c>
    </row>
    <row r="13" spans="1:15" ht="25.8" customHeight="1" x14ac:dyDescent="0.3">
      <c r="A13" s="46">
        <v>1</v>
      </c>
      <c r="B13" s="264" t="s">
        <v>392</v>
      </c>
      <c r="C13" s="45">
        <v>25</v>
      </c>
      <c r="D13" s="45">
        <v>25</v>
      </c>
      <c r="E13" s="45">
        <v>24.5</v>
      </c>
      <c r="F13" s="45">
        <f>AVERAGE(C13:E13)</f>
        <v>24.833333333333332</v>
      </c>
      <c r="G13" s="30"/>
      <c r="H13" s="30"/>
      <c r="I13" s="30"/>
      <c r="J13" s="39">
        <v>1</v>
      </c>
      <c r="K13" s="264" t="s">
        <v>392</v>
      </c>
      <c r="L13" s="105">
        <v>47.5</v>
      </c>
      <c r="M13" s="105">
        <v>47.2</v>
      </c>
      <c r="N13" s="105">
        <v>47.5</v>
      </c>
      <c r="O13" s="105">
        <f>AVERAGE(L13:N13)</f>
        <v>47.4</v>
      </c>
    </row>
    <row r="14" spans="1:15" ht="21" customHeight="1" x14ac:dyDescent="0.3">
      <c r="A14" s="46">
        <v>2</v>
      </c>
      <c r="B14" s="265"/>
      <c r="C14" s="45">
        <v>25.3</v>
      </c>
      <c r="D14" s="45">
        <v>25.2</v>
      </c>
      <c r="E14" s="45">
        <v>25.1</v>
      </c>
      <c r="F14" s="45">
        <f t="shared" ref="F14:F20" si="0">AVERAGE(C14:E14)</f>
        <v>25.2</v>
      </c>
      <c r="G14" s="30"/>
      <c r="H14" s="30"/>
      <c r="I14" s="30"/>
      <c r="J14" s="39">
        <v>2</v>
      </c>
      <c r="K14" s="265"/>
      <c r="L14" s="105">
        <v>42</v>
      </c>
      <c r="M14" s="105">
        <v>42</v>
      </c>
      <c r="N14" s="105">
        <v>42</v>
      </c>
      <c r="O14" s="105">
        <f t="shared" ref="O14:O20" si="1">AVERAGE(L14:N14)</f>
        <v>42</v>
      </c>
    </row>
    <row r="15" spans="1:15" ht="24" customHeight="1" x14ac:dyDescent="0.3">
      <c r="A15" s="46">
        <v>3</v>
      </c>
      <c r="B15" s="265"/>
      <c r="C15" s="45">
        <v>25.8</v>
      </c>
      <c r="D15" s="45">
        <v>26</v>
      </c>
      <c r="E15" s="45">
        <v>25.5</v>
      </c>
      <c r="F15" s="45">
        <f t="shared" si="0"/>
        <v>25.766666666666666</v>
      </c>
      <c r="G15" s="30"/>
      <c r="H15" s="30"/>
      <c r="I15" s="30"/>
      <c r="J15" s="39">
        <v>3</v>
      </c>
      <c r="K15" s="265"/>
      <c r="L15" s="105">
        <v>47.5</v>
      </c>
      <c r="M15" s="105">
        <v>47.2</v>
      </c>
      <c r="N15" s="105">
        <v>47.5</v>
      </c>
      <c r="O15" s="105">
        <f t="shared" si="1"/>
        <v>47.4</v>
      </c>
    </row>
    <row r="16" spans="1:15" ht="19.2" customHeight="1" x14ac:dyDescent="0.3">
      <c r="A16" s="46">
        <v>4</v>
      </c>
      <c r="B16" s="265"/>
      <c r="C16" s="45">
        <v>24.9</v>
      </c>
      <c r="D16" s="45">
        <v>24.5</v>
      </c>
      <c r="E16" s="45">
        <v>24.8</v>
      </c>
      <c r="F16" s="45">
        <f t="shared" si="0"/>
        <v>24.733333333333334</v>
      </c>
      <c r="G16" s="30"/>
      <c r="H16" s="30"/>
      <c r="I16" s="30"/>
      <c r="J16" s="39">
        <v>4</v>
      </c>
      <c r="K16" s="265"/>
      <c r="L16" s="105" t="s">
        <v>212</v>
      </c>
      <c r="M16" s="105" t="s">
        <v>212</v>
      </c>
      <c r="N16" s="105" t="s">
        <v>212</v>
      </c>
      <c r="O16" s="105" t="e">
        <f t="shared" si="1"/>
        <v>#DIV/0!</v>
      </c>
    </row>
    <row r="17" spans="1:15" ht="22.8" customHeight="1" x14ac:dyDescent="0.3">
      <c r="A17" s="46">
        <v>5</v>
      </c>
      <c r="B17" s="265"/>
      <c r="C17" s="45">
        <v>25.3</v>
      </c>
      <c r="D17" s="45">
        <v>25.2</v>
      </c>
      <c r="E17" s="45">
        <v>25.5</v>
      </c>
      <c r="F17" s="45">
        <f t="shared" si="0"/>
        <v>25.333333333333332</v>
      </c>
      <c r="G17" s="30"/>
      <c r="H17" s="30"/>
      <c r="I17" s="30"/>
      <c r="J17" s="39">
        <v>5</v>
      </c>
      <c r="K17" s="265"/>
      <c r="L17" s="105" t="s">
        <v>212</v>
      </c>
      <c r="M17" s="105" t="s">
        <v>212</v>
      </c>
      <c r="N17" s="105" t="s">
        <v>212</v>
      </c>
      <c r="O17" s="105" t="e">
        <f t="shared" si="1"/>
        <v>#DIV/0!</v>
      </c>
    </row>
    <row r="18" spans="1:15" ht="18" customHeight="1" x14ac:dyDescent="0.3">
      <c r="A18" s="46">
        <v>6</v>
      </c>
      <c r="B18" s="265"/>
      <c r="C18" s="45">
        <v>24.6</v>
      </c>
      <c r="D18" s="45">
        <v>24.8</v>
      </c>
      <c r="E18" s="45">
        <v>25</v>
      </c>
      <c r="F18" s="45">
        <f t="shared" si="0"/>
        <v>24.8</v>
      </c>
      <c r="G18" s="30"/>
      <c r="H18" s="30"/>
      <c r="I18" s="30"/>
      <c r="J18" s="39">
        <v>6</v>
      </c>
      <c r="K18" s="265"/>
      <c r="L18" s="105" t="s">
        <v>212</v>
      </c>
      <c r="M18" s="105" t="s">
        <v>212</v>
      </c>
      <c r="N18" s="105" t="s">
        <v>212</v>
      </c>
      <c r="O18" s="105" t="e">
        <f t="shared" si="1"/>
        <v>#DIV/0!</v>
      </c>
    </row>
    <row r="19" spans="1:15" ht="21.6" customHeight="1" x14ac:dyDescent="0.3">
      <c r="A19" s="46">
        <v>7</v>
      </c>
      <c r="B19" s="265"/>
      <c r="C19" s="45">
        <v>24.9</v>
      </c>
      <c r="D19" s="45">
        <v>24.5</v>
      </c>
      <c r="E19" s="45">
        <v>24.6</v>
      </c>
      <c r="F19" s="45">
        <f t="shared" si="0"/>
        <v>24.666666666666668</v>
      </c>
      <c r="G19" s="30"/>
      <c r="H19" s="30"/>
      <c r="I19" s="30"/>
      <c r="J19" s="39">
        <v>7</v>
      </c>
      <c r="K19" s="265"/>
      <c r="L19" s="105" t="s">
        <v>212</v>
      </c>
      <c r="M19" s="105" t="s">
        <v>212</v>
      </c>
      <c r="N19" s="105" t="s">
        <v>212</v>
      </c>
      <c r="O19" s="105" t="e">
        <f t="shared" si="1"/>
        <v>#DIV/0!</v>
      </c>
    </row>
    <row r="20" spans="1:15" ht="21.6" customHeight="1" x14ac:dyDescent="0.3">
      <c r="A20" s="46">
        <v>8</v>
      </c>
      <c r="B20" s="266"/>
      <c r="C20" s="45">
        <v>25.5</v>
      </c>
      <c r="D20" s="45">
        <v>25.2</v>
      </c>
      <c r="E20" s="45">
        <v>25.4</v>
      </c>
      <c r="F20" s="45">
        <f t="shared" si="0"/>
        <v>25.366666666666664</v>
      </c>
      <c r="G20" s="30"/>
      <c r="H20" s="30"/>
      <c r="I20" s="30"/>
      <c r="J20" s="39">
        <v>8</v>
      </c>
      <c r="K20" s="266"/>
      <c r="L20" s="105" t="s">
        <v>212</v>
      </c>
      <c r="M20" s="105" t="s">
        <v>212</v>
      </c>
      <c r="N20" s="105" t="s">
        <v>212</v>
      </c>
      <c r="O20" s="105" t="e">
        <f t="shared" si="1"/>
        <v>#DIV/0!</v>
      </c>
    </row>
    <row r="21" spans="1:15" ht="26.4" customHeight="1" x14ac:dyDescent="0.3">
      <c r="A21" s="45" t="s">
        <v>329</v>
      </c>
      <c r="B21" s="45">
        <f>MAX(F13:F20)</f>
        <v>25.766666666666666</v>
      </c>
      <c r="C21" s="108"/>
      <c r="D21" s="108"/>
      <c r="E21" s="108"/>
      <c r="F21" s="30"/>
      <c r="G21" s="30"/>
      <c r="H21" s="30"/>
      <c r="I21" s="30"/>
      <c r="J21" s="105" t="s">
        <v>329</v>
      </c>
      <c r="K21" s="105" t="e">
        <f>MAX(O13:O20)</f>
        <v>#DIV/0!</v>
      </c>
      <c r="L21" s="30"/>
      <c r="M21" s="30"/>
      <c r="N21" s="30"/>
      <c r="O21" s="30"/>
    </row>
    <row r="22" spans="1:15" ht="35.4" customHeight="1" x14ac:dyDescent="0.3">
      <c r="A22" s="45" t="s">
        <v>331</v>
      </c>
      <c r="B22" s="45">
        <f>MIN(F13:F20)</f>
        <v>24.666666666666668</v>
      </c>
      <c r="C22" s="108"/>
      <c r="D22" s="108"/>
      <c r="E22" s="108"/>
      <c r="F22" s="30"/>
      <c r="G22" s="30"/>
      <c r="H22" s="30"/>
      <c r="I22" s="30"/>
      <c r="J22" s="105" t="s">
        <v>330</v>
      </c>
      <c r="K22" s="105" t="e">
        <f>MIN(O13:O20)</f>
        <v>#DIV/0!</v>
      </c>
      <c r="L22" s="30"/>
      <c r="M22" s="30"/>
      <c r="N22" s="30"/>
      <c r="O22" s="30"/>
    </row>
    <row r="23" spans="1:15" ht="42" customHeight="1" x14ac:dyDescent="0.3">
      <c r="A23" s="96" t="s">
        <v>332</v>
      </c>
      <c r="B23" s="86">
        <f>(B21-B22)/B21</f>
        <v>4.2690815006468222E-2</v>
      </c>
      <c r="C23" s="108"/>
      <c r="D23" s="108"/>
      <c r="E23" s="108"/>
      <c r="F23" s="30"/>
      <c r="G23" s="30"/>
      <c r="I23" s="30"/>
      <c r="J23" s="106" t="s">
        <v>332</v>
      </c>
      <c r="K23" s="107" t="e">
        <f>(K21-K22)/K21</f>
        <v>#DIV/0!</v>
      </c>
      <c r="L23" s="30"/>
      <c r="M23" s="30"/>
      <c r="N23" s="30"/>
      <c r="O23" s="30"/>
    </row>
    <row r="24" spans="1:15" ht="27" customHeight="1" x14ac:dyDescent="0.3">
      <c r="A24" s="262" t="s">
        <v>333</v>
      </c>
      <c r="B24" s="263"/>
      <c r="C24" s="263"/>
      <c r="D24" s="263"/>
      <c r="E24" s="263"/>
      <c r="F24" s="263"/>
      <c r="G24" s="263"/>
      <c r="H24" s="263"/>
      <c r="I24" s="263"/>
      <c r="J24" s="263"/>
      <c r="K24" s="263"/>
      <c r="L24" s="263"/>
      <c r="M24" s="263"/>
      <c r="N24" s="263"/>
      <c r="O24" s="263"/>
    </row>
    <row r="25" spans="1:15" ht="16.8" customHeight="1" x14ac:dyDescent="0.3">
      <c r="A25" s="276" t="s">
        <v>334</v>
      </c>
      <c r="B25" s="276"/>
      <c r="C25" s="276"/>
      <c r="D25" s="276"/>
      <c r="E25" s="276"/>
      <c r="F25" s="276"/>
      <c r="G25" s="276"/>
      <c r="H25" s="276"/>
      <c r="I25" s="276"/>
      <c r="J25" s="30"/>
      <c r="K25" s="30"/>
      <c r="L25" s="30"/>
      <c r="M25" s="30"/>
      <c r="N25" s="30"/>
      <c r="O25" s="30"/>
    </row>
    <row r="26" spans="1:15" ht="24.6" customHeight="1" x14ac:dyDescent="0.3">
      <c r="A26" s="261" t="s">
        <v>394</v>
      </c>
      <c r="B26" s="262"/>
      <c r="C26" s="262"/>
      <c r="D26" s="262"/>
      <c r="E26" s="262"/>
      <c r="F26" s="262"/>
      <c r="G26" s="262"/>
      <c r="H26" s="262"/>
      <c r="I26" s="262"/>
      <c r="J26" s="262"/>
      <c r="K26" s="262"/>
      <c r="L26" s="262"/>
      <c r="M26" s="262"/>
      <c r="N26" s="104"/>
      <c r="O26" s="105" t="s">
        <v>188</v>
      </c>
    </row>
    <row r="27" spans="1:15" ht="19.2" customHeight="1" x14ac:dyDescent="0.3">
      <c r="A27" s="262"/>
      <c r="B27" s="262"/>
      <c r="C27" s="262"/>
      <c r="D27" s="262"/>
      <c r="E27" s="262"/>
      <c r="F27" s="262"/>
      <c r="G27" s="262"/>
      <c r="H27" s="262"/>
      <c r="I27" s="262"/>
      <c r="J27" s="262"/>
      <c r="K27" s="262"/>
      <c r="L27" s="262"/>
      <c r="M27" s="262"/>
      <c r="N27" s="104" t="s">
        <v>7</v>
      </c>
      <c r="O27" s="105">
        <f>'MILScientific Injection Molding'!F6</f>
        <v>251</v>
      </c>
    </row>
    <row r="28" spans="1:15" ht="21" customHeight="1" x14ac:dyDescent="0.3">
      <c r="A28" s="262"/>
      <c r="B28" s="262"/>
      <c r="C28" s="262"/>
      <c r="D28" s="262"/>
      <c r="E28" s="262"/>
      <c r="F28" s="262"/>
      <c r="G28" s="262"/>
      <c r="H28" s="262"/>
      <c r="I28" s="262"/>
      <c r="J28" s="262"/>
      <c r="K28" s="262"/>
      <c r="L28" s="262"/>
      <c r="M28" s="262"/>
      <c r="N28" s="104" t="s">
        <v>8</v>
      </c>
      <c r="O28" s="105">
        <f>'MILScientific Injection Molding'!F7</f>
        <v>222</v>
      </c>
    </row>
    <row r="29" spans="1:15" ht="21.6" customHeight="1" x14ac:dyDescent="0.3">
      <c r="A29" s="262"/>
      <c r="B29" s="262"/>
      <c r="C29" s="262"/>
      <c r="D29" s="262"/>
      <c r="E29" s="262"/>
      <c r="F29" s="262"/>
      <c r="G29" s="262"/>
      <c r="H29" s="262"/>
      <c r="I29" s="262"/>
      <c r="J29" s="262"/>
      <c r="K29" s="262"/>
      <c r="L29" s="262"/>
      <c r="M29" s="262"/>
      <c r="N29" s="104" t="s">
        <v>9</v>
      </c>
      <c r="O29" s="105" t="s">
        <v>212</v>
      </c>
    </row>
    <row r="30" spans="1:15" ht="21.6" customHeight="1" x14ac:dyDescent="0.3">
      <c r="A30" s="262"/>
      <c r="B30" s="262"/>
      <c r="C30" s="262"/>
      <c r="D30" s="262"/>
      <c r="E30" s="262"/>
      <c r="F30" s="262"/>
      <c r="G30" s="262"/>
      <c r="H30" s="262"/>
      <c r="I30" s="262"/>
      <c r="J30" s="262"/>
      <c r="K30" s="262"/>
      <c r="L30" s="262"/>
      <c r="M30" s="262"/>
      <c r="N30" s="104" t="s">
        <v>10</v>
      </c>
      <c r="O30" s="105" t="s">
        <v>212</v>
      </c>
    </row>
    <row r="31" spans="1:15" ht="28.2" customHeight="1" x14ac:dyDescent="0.3">
      <c r="A31" s="262"/>
      <c r="B31" s="262"/>
      <c r="C31" s="262"/>
      <c r="D31" s="262"/>
      <c r="E31" s="262"/>
      <c r="F31" s="262"/>
      <c r="G31" s="262"/>
      <c r="H31" s="262"/>
      <c r="I31" s="262"/>
      <c r="J31" s="262"/>
      <c r="K31" s="262"/>
      <c r="L31" s="262"/>
      <c r="M31" s="262"/>
      <c r="N31" s="277"/>
      <c r="O31" s="278"/>
    </row>
    <row r="32" spans="1:15" ht="20.399999999999999" customHeight="1" x14ac:dyDescent="0.3">
      <c r="A32" s="262"/>
      <c r="B32" s="262"/>
      <c r="C32" s="262"/>
      <c r="D32" s="262"/>
      <c r="E32" s="262"/>
      <c r="F32" s="262"/>
      <c r="G32" s="262"/>
      <c r="H32" s="262"/>
      <c r="I32" s="262"/>
      <c r="J32" s="262"/>
      <c r="K32" s="262"/>
      <c r="L32" s="262"/>
      <c r="M32" s="262"/>
      <c r="N32" s="279"/>
      <c r="O32" s="280"/>
    </row>
    <row r="33" spans="1:15" ht="21.6" customHeight="1" x14ac:dyDescent="0.3">
      <c r="A33" s="262"/>
      <c r="B33" s="262"/>
      <c r="C33" s="262"/>
      <c r="D33" s="262"/>
      <c r="E33" s="262"/>
      <c r="F33" s="262"/>
      <c r="G33" s="262"/>
      <c r="H33" s="262"/>
      <c r="I33" s="262"/>
      <c r="J33" s="262"/>
      <c r="K33" s="262"/>
      <c r="L33" s="262"/>
      <c r="M33" s="262"/>
      <c r="N33" s="279"/>
      <c r="O33" s="280"/>
    </row>
    <row r="34" spans="1:15" ht="65.400000000000006" customHeight="1" x14ac:dyDescent="0.3">
      <c r="A34" s="262"/>
      <c r="B34" s="262"/>
      <c r="C34" s="262"/>
      <c r="D34" s="262"/>
      <c r="E34" s="262"/>
      <c r="F34" s="262"/>
      <c r="G34" s="262"/>
      <c r="H34" s="262"/>
      <c r="I34" s="262"/>
      <c r="J34" s="262"/>
      <c r="K34" s="262"/>
      <c r="L34" s="262"/>
      <c r="M34" s="262"/>
      <c r="N34" s="281"/>
      <c r="O34" s="282"/>
    </row>
    <row r="35" spans="1:15" ht="35.4" customHeight="1" x14ac:dyDescent="0.3">
      <c r="A35" s="273" t="s">
        <v>325</v>
      </c>
      <c r="B35" s="273"/>
      <c r="C35" s="273"/>
      <c r="D35" s="273"/>
      <c r="E35" s="273"/>
      <c r="F35" s="273"/>
      <c r="G35" s="273"/>
      <c r="H35" s="55"/>
      <c r="I35" s="273" t="s">
        <v>326</v>
      </c>
      <c r="J35" s="165"/>
      <c r="K35" s="165"/>
      <c r="L35" s="165"/>
      <c r="M35" s="165"/>
      <c r="N35" s="165"/>
      <c r="O35" s="165"/>
    </row>
    <row r="36" spans="1:15" ht="57.6" customHeight="1" x14ac:dyDescent="0.3">
      <c r="A36" s="99" t="s">
        <v>327</v>
      </c>
      <c r="B36" s="99" t="s">
        <v>335</v>
      </c>
      <c r="C36" s="99" t="s">
        <v>195</v>
      </c>
      <c r="D36" s="99" t="s">
        <v>195</v>
      </c>
      <c r="E36" s="99" t="s">
        <v>195</v>
      </c>
      <c r="F36" s="99" t="s">
        <v>336</v>
      </c>
      <c r="G36" s="99" t="s">
        <v>340</v>
      </c>
      <c r="H36" s="84"/>
      <c r="I36" s="99" t="s">
        <v>6</v>
      </c>
      <c r="J36" s="99" t="s">
        <v>335</v>
      </c>
      <c r="K36" s="99" t="s">
        <v>195</v>
      </c>
      <c r="L36" s="99" t="s">
        <v>195</v>
      </c>
      <c r="M36" s="99" t="s">
        <v>195</v>
      </c>
      <c r="N36" s="99" t="s">
        <v>337</v>
      </c>
      <c r="O36" s="99" t="s">
        <v>340</v>
      </c>
    </row>
    <row r="37" spans="1:15" ht="27.6" customHeight="1" x14ac:dyDescent="0.3">
      <c r="A37" s="45" t="s">
        <v>11</v>
      </c>
      <c r="B37" s="283" t="s">
        <v>392</v>
      </c>
      <c r="C37" s="45">
        <v>111.2</v>
      </c>
      <c r="D37" s="45">
        <v>111.2</v>
      </c>
      <c r="E37" s="45">
        <v>111.3</v>
      </c>
      <c r="F37" s="97">
        <f>AVERAGE(C37:E37)</f>
        <v>111.23333333333333</v>
      </c>
      <c r="G37" s="98">
        <f>F37/O27</f>
        <v>0.44316069057104912</v>
      </c>
      <c r="H37" s="84"/>
      <c r="I37" s="45" t="s">
        <v>11</v>
      </c>
      <c r="J37" s="283" t="s">
        <v>393</v>
      </c>
      <c r="K37" s="45">
        <v>231.2</v>
      </c>
      <c r="L37" s="45">
        <v>231.4</v>
      </c>
      <c r="M37" s="45">
        <v>231.6</v>
      </c>
      <c r="N37" s="97">
        <f>AVERAGE(K37:M37)</f>
        <v>231.4</v>
      </c>
      <c r="O37" s="98">
        <f>N37/O27</f>
        <v>0.92191235059760956</v>
      </c>
    </row>
    <row r="38" spans="1:15" ht="23.4" customHeight="1" x14ac:dyDescent="0.3">
      <c r="A38" s="45" t="s">
        <v>12</v>
      </c>
      <c r="B38" s="284"/>
      <c r="C38" s="45">
        <v>94</v>
      </c>
      <c r="D38" s="45">
        <v>93.9</v>
      </c>
      <c r="E38" s="45">
        <v>94.1</v>
      </c>
      <c r="F38" s="97">
        <f t="shared" ref="F38:F40" si="2">AVERAGE(C38:E38)</f>
        <v>94</v>
      </c>
      <c r="G38" s="98">
        <f>F38/O28</f>
        <v>0.42342342342342343</v>
      </c>
      <c r="H38" s="84"/>
      <c r="I38" s="45" t="s">
        <v>12</v>
      </c>
      <c r="J38" s="284"/>
      <c r="K38" s="45">
        <v>202</v>
      </c>
      <c r="L38" s="45">
        <v>202</v>
      </c>
      <c r="M38" s="45">
        <v>202</v>
      </c>
      <c r="N38" s="97">
        <f t="shared" ref="N38:N39" si="3">AVERAGE(K38:M38)</f>
        <v>202</v>
      </c>
      <c r="O38" s="98">
        <f t="shared" ref="O38" si="4">N38/O28</f>
        <v>0.90990990990990994</v>
      </c>
    </row>
    <row r="39" spans="1:15" ht="30" customHeight="1" x14ac:dyDescent="0.3">
      <c r="A39" s="45" t="s">
        <v>13</v>
      </c>
      <c r="B39" s="284"/>
      <c r="C39" s="45">
        <v>0</v>
      </c>
      <c r="D39" s="45">
        <v>0</v>
      </c>
      <c r="E39" s="45">
        <v>0</v>
      </c>
      <c r="F39" s="97">
        <f t="shared" si="2"/>
        <v>0</v>
      </c>
      <c r="G39" s="98" t="s">
        <v>212</v>
      </c>
      <c r="H39" s="85"/>
      <c r="I39" s="45" t="s">
        <v>13</v>
      </c>
      <c r="J39" s="284"/>
      <c r="K39" s="45">
        <v>0</v>
      </c>
      <c r="L39" s="45">
        <v>0</v>
      </c>
      <c r="M39" s="45">
        <v>0</v>
      </c>
      <c r="N39" s="97">
        <f t="shared" si="3"/>
        <v>0</v>
      </c>
      <c r="O39" s="98" t="s">
        <v>212</v>
      </c>
    </row>
    <row r="40" spans="1:15" ht="24" customHeight="1" x14ac:dyDescent="0.3">
      <c r="A40" s="45" t="s">
        <v>14</v>
      </c>
      <c r="B40" s="285"/>
      <c r="C40" s="45">
        <v>0</v>
      </c>
      <c r="D40" s="45">
        <v>0</v>
      </c>
      <c r="E40" s="45">
        <v>0</v>
      </c>
      <c r="F40" s="97">
        <f t="shared" si="2"/>
        <v>0</v>
      </c>
      <c r="G40" s="98" t="s">
        <v>212</v>
      </c>
      <c r="H40" s="85"/>
      <c r="I40" s="45" t="s">
        <v>14</v>
      </c>
      <c r="J40" s="285"/>
      <c r="K40" s="45">
        <v>0</v>
      </c>
      <c r="L40" s="45">
        <v>0</v>
      </c>
      <c r="M40" s="45">
        <v>0</v>
      </c>
      <c r="N40" s="97">
        <v>0</v>
      </c>
      <c r="O40" s="98" t="s">
        <v>212</v>
      </c>
    </row>
    <row r="41" spans="1:15" ht="28.8" customHeight="1" x14ac:dyDescent="0.3">
      <c r="A41" s="100" t="s">
        <v>339</v>
      </c>
      <c r="B41" s="101">
        <f>MAX(G37:G40)-MIN(G37:G40)</f>
        <v>1.9737267147625692E-2</v>
      </c>
      <c r="C41" s="56"/>
      <c r="D41" s="102"/>
      <c r="E41" s="103"/>
      <c r="F41" s="103"/>
      <c r="G41" s="103"/>
      <c r="H41" s="103"/>
      <c r="I41" s="100" t="s">
        <v>339</v>
      </c>
      <c r="J41" s="101">
        <f>MAX(O37:O40)-MIN(O37:O40)</f>
        <v>1.2002440687699623E-2</v>
      </c>
      <c r="K41" s="103"/>
      <c r="L41" s="103"/>
      <c r="M41" s="103"/>
      <c r="N41" s="103"/>
      <c r="O41" s="103"/>
    </row>
    <row r="42" spans="1:15" ht="30" customHeight="1" x14ac:dyDescent="0.3">
      <c r="A42" s="274" t="s">
        <v>341</v>
      </c>
      <c r="B42" s="275"/>
      <c r="C42" s="275"/>
      <c r="D42" s="275"/>
      <c r="E42" s="275"/>
      <c r="F42" s="275"/>
      <c r="G42" s="275"/>
      <c r="H42" s="275"/>
      <c r="I42" s="275"/>
      <c r="J42" s="275"/>
      <c r="K42" s="275"/>
      <c r="L42" s="275"/>
      <c r="M42" s="275"/>
      <c r="N42" s="275"/>
      <c r="O42" s="275"/>
    </row>
    <row r="43" spans="1:15" ht="25.2" customHeight="1" x14ac:dyDescent="0.3">
      <c r="A43" s="286"/>
      <c r="B43" s="287"/>
      <c r="C43" s="287"/>
      <c r="D43" s="287"/>
      <c r="E43" s="287"/>
      <c r="F43" s="287"/>
      <c r="G43" s="287"/>
      <c r="H43" s="287"/>
      <c r="I43" s="287"/>
      <c r="J43" s="288"/>
      <c r="K43" s="272" t="s">
        <v>342</v>
      </c>
      <c r="L43" s="272"/>
      <c r="M43" s="272"/>
      <c r="N43" s="272" t="s">
        <v>191</v>
      </c>
      <c r="O43" s="272"/>
    </row>
    <row r="44" spans="1:15" ht="11.4" customHeight="1" x14ac:dyDescent="0.3">
      <c r="A44" s="30"/>
      <c r="B44" s="30"/>
      <c r="C44" s="30"/>
      <c r="D44" s="30"/>
      <c r="E44" s="30"/>
      <c r="F44" s="30"/>
      <c r="G44" s="30"/>
      <c r="H44" s="30"/>
    </row>
  </sheetData>
  <mergeCells count="20">
    <mergeCell ref="N43:O43"/>
    <mergeCell ref="I35:O35"/>
    <mergeCell ref="A42:O42"/>
    <mergeCell ref="A25:I25"/>
    <mergeCell ref="N31:O34"/>
    <mergeCell ref="B37:B40"/>
    <mergeCell ref="J37:J40"/>
    <mergeCell ref="A26:M34"/>
    <mergeCell ref="A35:G35"/>
    <mergeCell ref="K43:M43"/>
    <mergeCell ref="A43:J43"/>
    <mergeCell ref="A1:O1"/>
    <mergeCell ref="A2:O2"/>
    <mergeCell ref="A3:O3"/>
    <mergeCell ref="A4:O10"/>
    <mergeCell ref="A24:O24"/>
    <mergeCell ref="B13:B20"/>
    <mergeCell ref="J11:O11"/>
    <mergeCell ref="K13:K20"/>
    <mergeCell ref="A11:F11"/>
  </mergeCells>
  <dataValidations disablePrompts="1" count="1">
    <dataValidation type="list" allowBlank="1" showInputMessage="1" showErrorMessage="1" sqref="K44:L44 N43" xr:uid="{14D8BB44-5D07-4FB3-8DB1-800C5B77152F}">
      <formula1>"OK,NG"</formula1>
    </dataValidation>
  </dataValidations>
  <pageMargins left="0.7" right="0.7" top="0.75" bottom="0.75" header="0.3" footer="0.3"/>
  <pageSetup paperSize="9" scale="60"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DA6BED-1A58-4D4A-B6CD-61CF32393AB7}">
  <dimension ref="A1:I37"/>
  <sheetViews>
    <sheetView zoomScale="85" zoomScaleNormal="100" zoomScalePageLayoutView="85" workbookViewId="0">
      <selection activeCell="F12" sqref="F12:H12"/>
    </sheetView>
  </sheetViews>
  <sheetFormatPr defaultRowHeight="14.4" x14ac:dyDescent="0.3"/>
  <cols>
    <col min="1" max="1" width="11.5546875" customWidth="1"/>
    <col min="2" max="2" width="17.109375" customWidth="1"/>
    <col min="3" max="3" width="16.21875" customWidth="1"/>
    <col min="4" max="4" width="20.6640625" customWidth="1"/>
    <col min="5" max="5" width="18.88671875" customWidth="1"/>
    <col min="6" max="8" width="9.6640625" customWidth="1"/>
    <col min="9" max="9" width="11" customWidth="1"/>
  </cols>
  <sheetData>
    <row r="1" spans="1:9" ht="28.8" customHeight="1" x14ac:dyDescent="0.55000000000000004">
      <c r="A1" s="259" t="s">
        <v>343</v>
      </c>
      <c r="B1" s="259"/>
      <c r="C1" s="259"/>
      <c r="D1" s="259"/>
      <c r="E1" s="259"/>
      <c r="F1" s="259"/>
      <c r="G1" s="259"/>
      <c r="H1" s="259"/>
      <c r="I1" s="259"/>
    </row>
    <row r="2" spans="1:9" ht="5.4" customHeight="1" x14ac:dyDescent="0.55000000000000004">
      <c r="A2" s="292"/>
      <c r="B2" s="292"/>
      <c r="C2" s="292"/>
      <c r="D2" s="292"/>
      <c r="E2" s="292"/>
      <c r="F2" s="292"/>
      <c r="G2" s="292"/>
      <c r="H2" s="292"/>
      <c r="I2" s="292"/>
    </row>
    <row r="3" spans="1:9" x14ac:dyDescent="0.3">
      <c r="A3" s="253" t="s">
        <v>391</v>
      </c>
      <c r="B3" s="289"/>
      <c r="C3" s="289"/>
      <c r="D3" s="289"/>
      <c r="E3" s="289"/>
      <c r="F3" s="289"/>
      <c r="G3" s="289"/>
      <c r="H3" s="289"/>
      <c r="I3" s="289"/>
    </row>
    <row r="4" spans="1:9" x14ac:dyDescent="0.3">
      <c r="A4" s="290"/>
      <c r="B4" s="290"/>
      <c r="C4" s="290"/>
      <c r="D4" s="290"/>
      <c r="E4" s="290"/>
      <c r="F4" s="290"/>
      <c r="G4" s="290"/>
      <c r="H4" s="290"/>
      <c r="I4" s="290"/>
    </row>
    <row r="5" spans="1:9" x14ac:dyDescent="0.3">
      <c r="A5" s="290"/>
      <c r="B5" s="290"/>
      <c r="C5" s="290"/>
      <c r="D5" s="290"/>
      <c r="E5" s="290"/>
      <c r="F5" s="290"/>
      <c r="G5" s="290"/>
      <c r="H5" s="290"/>
      <c r="I5" s="290"/>
    </row>
    <row r="6" spans="1:9" x14ac:dyDescent="0.3">
      <c r="A6" s="290"/>
      <c r="B6" s="290"/>
      <c r="C6" s="290"/>
      <c r="D6" s="290"/>
      <c r="E6" s="290"/>
      <c r="F6" s="290"/>
      <c r="G6" s="290"/>
      <c r="H6" s="290"/>
      <c r="I6" s="290"/>
    </row>
    <row r="7" spans="1:9" ht="25.8" customHeight="1" x14ac:dyDescent="0.3">
      <c r="A7" s="290"/>
      <c r="B7" s="290"/>
      <c r="C7" s="290"/>
      <c r="D7" s="290"/>
      <c r="E7" s="290"/>
      <c r="F7" s="290"/>
      <c r="G7" s="290"/>
      <c r="H7" s="290"/>
      <c r="I7" s="290"/>
    </row>
    <row r="8" spans="1:9" ht="31.8" customHeight="1" x14ac:dyDescent="0.3">
      <c r="A8" s="290"/>
      <c r="B8" s="290"/>
      <c r="C8" s="290"/>
      <c r="D8" s="290"/>
      <c r="E8" s="290"/>
      <c r="F8" s="290"/>
      <c r="G8" s="290"/>
      <c r="H8" s="290"/>
      <c r="I8" s="290"/>
    </row>
    <row r="9" spans="1:9" ht="256.2" customHeight="1" x14ac:dyDescent="0.3">
      <c r="A9" s="291"/>
      <c r="B9" s="291"/>
      <c r="C9" s="291"/>
      <c r="D9" s="291"/>
      <c r="E9" s="291"/>
      <c r="F9" s="291"/>
      <c r="G9" s="291"/>
      <c r="H9" s="291"/>
      <c r="I9" s="291"/>
    </row>
    <row r="10" spans="1:9" ht="31.2" customHeight="1" x14ac:dyDescent="0.3">
      <c r="A10" s="30"/>
      <c r="B10" s="30"/>
      <c r="C10" s="30"/>
      <c r="D10" s="30"/>
      <c r="E10" s="30"/>
      <c r="F10" s="30"/>
      <c r="G10" s="30"/>
      <c r="H10" s="30"/>
      <c r="I10" s="30"/>
    </row>
    <row r="11" spans="1:9" ht="40.799999999999997" customHeight="1" x14ac:dyDescent="0.3">
      <c r="A11" s="30"/>
      <c r="B11" s="33" t="s">
        <v>347</v>
      </c>
      <c r="C11" s="33" t="s">
        <v>348</v>
      </c>
      <c r="D11" s="33" t="s">
        <v>349</v>
      </c>
      <c r="E11" s="33" t="s">
        <v>344</v>
      </c>
      <c r="F11" s="293" t="s">
        <v>335</v>
      </c>
      <c r="G11" s="190"/>
      <c r="H11" s="190"/>
      <c r="I11" s="30"/>
    </row>
    <row r="12" spans="1:9" ht="71.400000000000006" customHeight="1" x14ac:dyDescent="0.3">
      <c r="A12" s="30"/>
      <c r="B12" s="34">
        <v>10</v>
      </c>
      <c r="C12" s="34">
        <v>12</v>
      </c>
      <c r="D12" s="34">
        <v>465</v>
      </c>
      <c r="E12" s="33" t="s">
        <v>345</v>
      </c>
      <c r="F12" s="251" t="s">
        <v>396</v>
      </c>
      <c r="G12" s="251"/>
      <c r="H12" s="251"/>
      <c r="I12" s="30"/>
    </row>
    <row r="13" spans="1:9" ht="69.599999999999994" customHeight="1" x14ac:dyDescent="0.3">
      <c r="A13" s="30"/>
      <c r="B13" s="34">
        <v>20</v>
      </c>
      <c r="C13" s="34">
        <v>12</v>
      </c>
      <c r="D13" s="34">
        <v>471.2</v>
      </c>
      <c r="E13" s="34" t="s">
        <v>189</v>
      </c>
      <c r="F13" s="251" t="s">
        <v>396</v>
      </c>
      <c r="G13" s="251"/>
      <c r="H13" s="251"/>
      <c r="I13" s="30"/>
    </row>
    <row r="14" spans="1:9" ht="70.2" customHeight="1" x14ac:dyDescent="0.3">
      <c r="A14" s="30"/>
      <c r="B14" s="34">
        <v>30</v>
      </c>
      <c r="C14" s="34">
        <v>12</v>
      </c>
      <c r="D14" s="34">
        <v>474.8</v>
      </c>
      <c r="E14" s="34" t="s">
        <v>189</v>
      </c>
      <c r="F14" s="251" t="s">
        <v>396</v>
      </c>
      <c r="G14" s="251"/>
      <c r="H14" s="251"/>
      <c r="I14" s="30"/>
    </row>
    <row r="15" spans="1:9" ht="57.6" customHeight="1" x14ac:dyDescent="0.3">
      <c r="A15" s="30"/>
      <c r="B15" s="34">
        <v>35</v>
      </c>
      <c r="C15" s="34">
        <v>12</v>
      </c>
      <c r="D15" s="34">
        <v>477.6</v>
      </c>
      <c r="E15" s="34" t="s">
        <v>189</v>
      </c>
      <c r="F15" s="251" t="s">
        <v>396</v>
      </c>
      <c r="G15" s="251"/>
      <c r="H15" s="251"/>
      <c r="I15" s="30"/>
    </row>
    <row r="16" spans="1:9" ht="69" customHeight="1" x14ac:dyDescent="0.3">
      <c r="A16" s="30"/>
      <c r="B16" s="34">
        <v>40</v>
      </c>
      <c r="C16" s="34">
        <v>12</v>
      </c>
      <c r="D16" s="34">
        <v>479.5</v>
      </c>
      <c r="E16" s="33" t="s">
        <v>346</v>
      </c>
      <c r="F16" s="251" t="s">
        <v>396</v>
      </c>
      <c r="G16" s="251"/>
      <c r="H16" s="251"/>
      <c r="I16" s="30"/>
    </row>
    <row r="17" spans="1:9" ht="61.2" customHeight="1" x14ac:dyDescent="0.3">
      <c r="A17" s="30"/>
      <c r="B17" s="34" t="s">
        <v>212</v>
      </c>
      <c r="C17" s="34" t="s">
        <v>212</v>
      </c>
      <c r="D17" s="34" t="s">
        <v>212</v>
      </c>
      <c r="E17" s="34" t="s">
        <v>212</v>
      </c>
      <c r="F17" s="251" t="s">
        <v>396</v>
      </c>
      <c r="G17" s="251"/>
      <c r="H17" s="251"/>
      <c r="I17" s="30"/>
    </row>
    <row r="18" spans="1:9" ht="64.2" customHeight="1" x14ac:dyDescent="0.3">
      <c r="A18" s="30"/>
      <c r="B18" s="34" t="s">
        <v>212</v>
      </c>
      <c r="C18" s="34" t="s">
        <v>212</v>
      </c>
      <c r="D18" s="34" t="s">
        <v>212</v>
      </c>
      <c r="E18" s="34" t="s">
        <v>212</v>
      </c>
      <c r="F18" s="251" t="s">
        <v>396</v>
      </c>
      <c r="G18" s="251"/>
      <c r="H18" s="251"/>
      <c r="I18" s="30"/>
    </row>
    <row r="19" spans="1:9" ht="63" customHeight="1" x14ac:dyDescent="0.3">
      <c r="A19" s="30"/>
      <c r="B19" s="34" t="s">
        <v>212</v>
      </c>
      <c r="C19" s="34" t="s">
        <v>212</v>
      </c>
      <c r="D19" s="34" t="s">
        <v>212</v>
      </c>
      <c r="E19" s="34" t="s">
        <v>212</v>
      </c>
      <c r="F19" s="251" t="s">
        <v>396</v>
      </c>
      <c r="G19" s="251"/>
      <c r="H19" s="251"/>
      <c r="I19" s="30"/>
    </row>
    <row r="20" spans="1:9" x14ac:dyDescent="0.3">
      <c r="A20" s="30"/>
      <c r="B20" s="30"/>
      <c r="C20" s="30"/>
      <c r="D20" s="30"/>
      <c r="E20" s="30"/>
      <c r="F20" s="30"/>
      <c r="G20" s="30"/>
      <c r="H20" s="30"/>
      <c r="I20" s="30"/>
    </row>
    <row r="21" spans="1:9" ht="36" customHeight="1" x14ac:dyDescent="0.3">
      <c r="A21" s="30"/>
      <c r="B21" s="33" t="s">
        <v>350</v>
      </c>
      <c r="C21" s="33" t="s">
        <v>351</v>
      </c>
      <c r="D21" s="33" t="s">
        <v>352</v>
      </c>
      <c r="E21" s="30"/>
      <c r="F21" s="30"/>
      <c r="G21" s="30"/>
      <c r="H21" s="30"/>
      <c r="I21" s="30"/>
    </row>
    <row r="22" spans="1:9" ht="34.799999999999997" customHeight="1" x14ac:dyDescent="0.3">
      <c r="A22" s="30"/>
      <c r="B22" s="34">
        <v>20</v>
      </c>
      <c r="C22" s="34">
        <v>40</v>
      </c>
      <c r="D22" s="34">
        <f>(C22+B22)/2</f>
        <v>30</v>
      </c>
      <c r="E22" s="30"/>
      <c r="F22" s="30"/>
      <c r="G22" s="30"/>
      <c r="H22" s="30"/>
      <c r="I22" s="30"/>
    </row>
    <row r="23" spans="1:9" x14ac:dyDescent="0.3">
      <c r="A23" s="30"/>
      <c r="B23" s="30"/>
      <c r="C23" s="30"/>
      <c r="D23" s="30"/>
      <c r="E23" s="30"/>
      <c r="F23" s="30"/>
      <c r="G23" s="30"/>
      <c r="H23" s="30"/>
      <c r="I23" s="30"/>
    </row>
    <row r="24" spans="1:9" x14ac:dyDescent="0.3">
      <c r="A24" s="30"/>
      <c r="B24" s="30"/>
      <c r="C24" s="30"/>
      <c r="D24" s="30"/>
      <c r="E24" s="30"/>
      <c r="F24" s="30"/>
      <c r="G24" s="30"/>
      <c r="H24" s="30"/>
      <c r="I24" s="30"/>
    </row>
    <row r="25" spans="1:9" x14ac:dyDescent="0.3">
      <c r="A25" s="30"/>
      <c r="B25" s="30"/>
      <c r="C25" s="30"/>
      <c r="D25" s="30"/>
      <c r="E25" s="30"/>
      <c r="F25" s="30"/>
      <c r="G25" s="30"/>
      <c r="H25" s="30"/>
      <c r="I25" s="30"/>
    </row>
    <row r="26" spans="1:9" x14ac:dyDescent="0.3">
      <c r="A26" s="30"/>
      <c r="B26" s="30"/>
      <c r="C26" s="30"/>
      <c r="D26" s="30"/>
      <c r="E26" s="30"/>
      <c r="F26" s="30"/>
      <c r="G26" s="30"/>
      <c r="H26" s="30"/>
      <c r="I26" s="30"/>
    </row>
    <row r="27" spans="1:9" x14ac:dyDescent="0.3">
      <c r="A27" s="30"/>
      <c r="B27" s="30"/>
      <c r="C27" s="30"/>
      <c r="D27" s="30"/>
      <c r="E27" s="30"/>
      <c r="F27" s="30"/>
      <c r="G27" s="30"/>
      <c r="H27" s="30"/>
      <c r="I27" s="30"/>
    </row>
    <row r="28" spans="1:9" x14ac:dyDescent="0.3">
      <c r="A28" s="30"/>
      <c r="B28" s="30"/>
      <c r="C28" s="30"/>
      <c r="D28" s="30"/>
      <c r="E28" s="30"/>
      <c r="F28" s="30"/>
      <c r="G28" s="30"/>
      <c r="H28" s="30"/>
      <c r="I28" s="30"/>
    </row>
    <row r="29" spans="1:9" x14ac:dyDescent="0.3">
      <c r="A29" s="30"/>
      <c r="B29" s="30"/>
      <c r="C29" s="30"/>
      <c r="D29" s="30"/>
      <c r="E29" s="30"/>
      <c r="F29" s="30"/>
      <c r="G29" s="30"/>
      <c r="H29" s="30"/>
      <c r="I29" s="30"/>
    </row>
    <row r="30" spans="1:9" x14ac:dyDescent="0.3">
      <c r="A30" s="30"/>
      <c r="B30" s="30"/>
      <c r="C30" s="30"/>
      <c r="D30" s="30"/>
      <c r="E30" s="30"/>
      <c r="F30" s="30"/>
      <c r="G30" s="30"/>
      <c r="H30" s="30"/>
      <c r="I30" s="30"/>
    </row>
    <row r="31" spans="1:9" x14ac:dyDescent="0.3">
      <c r="A31" s="30"/>
      <c r="B31" s="30"/>
      <c r="C31" s="30"/>
      <c r="D31" s="30"/>
      <c r="E31" s="30"/>
      <c r="F31" s="30"/>
      <c r="G31" s="30"/>
      <c r="H31" s="30"/>
      <c r="I31" s="30"/>
    </row>
    <row r="32" spans="1:9" x14ac:dyDescent="0.3">
      <c r="A32" s="30"/>
      <c r="B32" s="30"/>
      <c r="C32" s="30"/>
      <c r="D32" s="30"/>
      <c r="E32" s="30"/>
      <c r="F32" s="30"/>
      <c r="G32" s="30"/>
      <c r="H32" s="30"/>
      <c r="I32" s="30"/>
    </row>
    <row r="33" spans="1:9" x14ac:dyDescent="0.3">
      <c r="A33" s="30"/>
      <c r="B33" s="30"/>
      <c r="C33" s="30"/>
      <c r="D33" s="30"/>
      <c r="E33" s="30"/>
      <c r="F33" s="30"/>
      <c r="G33" s="30"/>
      <c r="H33" s="30"/>
      <c r="I33" s="30"/>
    </row>
    <row r="34" spans="1:9" x14ac:dyDescent="0.3">
      <c r="A34" s="30"/>
      <c r="B34" s="30"/>
      <c r="C34" s="30"/>
      <c r="D34" s="30"/>
      <c r="E34" s="30"/>
      <c r="F34" s="30"/>
      <c r="G34" s="30"/>
      <c r="H34" s="30"/>
      <c r="I34" s="30"/>
    </row>
    <row r="35" spans="1:9" x14ac:dyDescent="0.3">
      <c r="A35" s="30"/>
      <c r="B35" s="30"/>
      <c r="C35" s="30"/>
      <c r="D35" s="30"/>
      <c r="E35" s="30"/>
      <c r="F35" s="30"/>
      <c r="G35" s="30"/>
      <c r="H35" s="30"/>
      <c r="I35" s="30"/>
    </row>
    <row r="36" spans="1:9" x14ac:dyDescent="0.3">
      <c r="A36" s="30"/>
      <c r="B36" s="30"/>
      <c r="C36" s="30"/>
      <c r="D36" s="30"/>
      <c r="E36" s="30"/>
      <c r="F36" s="30"/>
      <c r="G36" s="30"/>
      <c r="H36" s="30"/>
      <c r="I36" s="30"/>
    </row>
    <row r="37" spans="1:9" x14ac:dyDescent="0.3">
      <c r="A37" s="30"/>
      <c r="B37" s="30"/>
      <c r="C37" s="30"/>
      <c r="D37" s="30"/>
      <c r="E37" s="30"/>
      <c r="F37" s="30"/>
      <c r="G37" s="30"/>
      <c r="H37" s="30"/>
      <c r="I37" s="30"/>
    </row>
  </sheetData>
  <mergeCells count="12">
    <mergeCell ref="A1:I1"/>
    <mergeCell ref="A3:I9"/>
    <mergeCell ref="A2:I2"/>
    <mergeCell ref="F11:H11"/>
    <mergeCell ref="F12:H12"/>
    <mergeCell ref="F18:H18"/>
    <mergeCell ref="F19:H19"/>
    <mergeCell ref="F13:H13"/>
    <mergeCell ref="F14:H14"/>
    <mergeCell ref="F15:H15"/>
    <mergeCell ref="F16:H16"/>
    <mergeCell ref="F17:H17"/>
  </mergeCells>
  <pageMargins left="0.7" right="0.7" top="0.75" bottom="0.75" header="0.3" footer="0.3"/>
  <pageSetup paperSize="9" scale="6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B41396-7C0A-4E77-BB3C-F919A12B8E74}">
  <dimension ref="A1:I91"/>
  <sheetViews>
    <sheetView topLeftCell="A15" zoomScale="85" zoomScaleNormal="100" zoomScaleSheetLayoutView="85" zoomScalePageLayoutView="85" workbookViewId="0">
      <selection activeCell="A3" sqref="A3:I18"/>
    </sheetView>
  </sheetViews>
  <sheetFormatPr defaultRowHeight="14.4" x14ac:dyDescent="0.3"/>
  <cols>
    <col min="1" max="1" width="7.33203125" customWidth="1"/>
    <col min="2" max="2" width="16.77734375" customWidth="1"/>
    <col min="3" max="3" width="15.109375" customWidth="1"/>
    <col min="4" max="4" width="11.21875" customWidth="1"/>
    <col min="5" max="5" width="9.6640625" customWidth="1"/>
    <col min="6" max="6" width="9.44140625" customWidth="1"/>
    <col min="7" max="7" width="9.6640625" customWidth="1"/>
    <col min="8" max="8" width="9.5546875" customWidth="1"/>
    <col min="9" max="9" width="22.44140625" customWidth="1"/>
  </cols>
  <sheetData>
    <row r="1" spans="1:9" ht="28.8" x14ac:dyDescent="0.55000000000000004">
      <c r="A1" s="259" t="s">
        <v>353</v>
      </c>
      <c r="B1" s="259"/>
      <c r="C1" s="259"/>
      <c r="D1" s="259"/>
      <c r="E1" s="259"/>
      <c r="F1" s="259"/>
      <c r="G1" s="259"/>
      <c r="H1" s="259"/>
      <c r="I1" s="259"/>
    </row>
    <row r="2" spans="1:9" ht="7.2" customHeight="1" x14ac:dyDescent="0.55000000000000004">
      <c r="A2" s="292"/>
      <c r="B2" s="292"/>
      <c r="C2" s="292"/>
      <c r="D2" s="292"/>
      <c r="E2" s="292"/>
      <c r="F2" s="292"/>
      <c r="G2" s="292"/>
      <c r="H2" s="292"/>
      <c r="I2" s="292"/>
    </row>
    <row r="3" spans="1:9" x14ac:dyDescent="0.3">
      <c r="A3" s="253" t="s">
        <v>389</v>
      </c>
      <c r="B3" s="289"/>
      <c r="C3" s="289"/>
      <c r="D3" s="289"/>
      <c r="E3" s="289"/>
      <c r="F3" s="289"/>
      <c r="G3" s="289"/>
      <c r="H3" s="289"/>
      <c r="I3" s="289"/>
    </row>
    <row r="4" spans="1:9" x14ac:dyDescent="0.3">
      <c r="A4" s="290"/>
      <c r="B4" s="290"/>
      <c r="C4" s="290"/>
      <c r="D4" s="290"/>
      <c r="E4" s="290"/>
      <c r="F4" s="290"/>
      <c r="G4" s="290"/>
      <c r="H4" s="290"/>
      <c r="I4" s="290"/>
    </row>
    <row r="5" spans="1:9" x14ac:dyDescent="0.3">
      <c r="A5" s="290"/>
      <c r="B5" s="290"/>
      <c r="C5" s="290"/>
      <c r="D5" s="290"/>
      <c r="E5" s="290"/>
      <c r="F5" s="290"/>
      <c r="G5" s="290"/>
      <c r="H5" s="290"/>
      <c r="I5" s="290"/>
    </row>
    <row r="6" spans="1:9" x14ac:dyDescent="0.3">
      <c r="A6" s="290"/>
      <c r="B6" s="290"/>
      <c r="C6" s="290"/>
      <c r="D6" s="290"/>
      <c r="E6" s="290"/>
      <c r="F6" s="290"/>
      <c r="G6" s="290"/>
      <c r="H6" s="290"/>
      <c r="I6" s="290"/>
    </row>
    <row r="7" spans="1:9" x14ac:dyDescent="0.3">
      <c r="A7" s="290"/>
      <c r="B7" s="290"/>
      <c r="C7" s="290"/>
      <c r="D7" s="290"/>
      <c r="E7" s="290"/>
      <c r="F7" s="290"/>
      <c r="G7" s="290"/>
      <c r="H7" s="290"/>
      <c r="I7" s="290"/>
    </row>
    <row r="8" spans="1:9" x14ac:dyDescent="0.3">
      <c r="A8" s="290"/>
      <c r="B8" s="290"/>
      <c r="C8" s="290"/>
      <c r="D8" s="290"/>
      <c r="E8" s="290"/>
      <c r="F8" s="290"/>
      <c r="G8" s="290"/>
      <c r="H8" s="290"/>
      <c r="I8" s="290"/>
    </row>
    <row r="9" spans="1:9" x14ac:dyDescent="0.3">
      <c r="A9" s="290"/>
      <c r="B9" s="290"/>
      <c r="C9" s="290"/>
      <c r="D9" s="290"/>
      <c r="E9" s="290"/>
      <c r="F9" s="290"/>
      <c r="G9" s="290"/>
      <c r="H9" s="290"/>
      <c r="I9" s="290"/>
    </row>
    <row r="10" spans="1:9" x14ac:dyDescent="0.3">
      <c r="A10" s="290"/>
      <c r="B10" s="290"/>
      <c r="C10" s="290"/>
      <c r="D10" s="290"/>
      <c r="E10" s="290"/>
      <c r="F10" s="290"/>
      <c r="G10" s="290"/>
      <c r="H10" s="290"/>
      <c r="I10" s="290"/>
    </row>
    <row r="11" spans="1:9" x14ac:dyDescent="0.3">
      <c r="A11" s="290"/>
      <c r="B11" s="290"/>
      <c r="C11" s="290"/>
      <c r="D11" s="290"/>
      <c r="E11" s="290"/>
      <c r="F11" s="290"/>
      <c r="G11" s="290"/>
      <c r="H11" s="290"/>
      <c r="I11" s="290"/>
    </row>
    <row r="12" spans="1:9" x14ac:dyDescent="0.3">
      <c r="A12" s="290"/>
      <c r="B12" s="290"/>
      <c r="C12" s="290"/>
      <c r="D12" s="290"/>
      <c r="E12" s="290"/>
      <c r="F12" s="290"/>
      <c r="G12" s="290"/>
      <c r="H12" s="290"/>
      <c r="I12" s="290"/>
    </row>
    <row r="13" spans="1:9" x14ac:dyDescent="0.3">
      <c r="A13" s="290"/>
      <c r="B13" s="290"/>
      <c r="C13" s="290"/>
      <c r="D13" s="290"/>
      <c r="E13" s="290"/>
      <c r="F13" s="290"/>
      <c r="G13" s="290"/>
      <c r="H13" s="290"/>
      <c r="I13" s="290"/>
    </row>
    <row r="14" spans="1:9" x14ac:dyDescent="0.3">
      <c r="A14" s="290"/>
      <c r="B14" s="290"/>
      <c r="C14" s="290"/>
      <c r="D14" s="290"/>
      <c r="E14" s="290"/>
      <c r="F14" s="290"/>
      <c r="G14" s="290"/>
      <c r="H14" s="290"/>
      <c r="I14" s="290"/>
    </row>
    <row r="15" spans="1:9" x14ac:dyDescent="0.3">
      <c r="A15" s="290"/>
      <c r="B15" s="290"/>
      <c r="C15" s="290"/>
      <c r="D15" s="290"/>
      <c r="E15" s="290"/>
      <c r="F15" s="290"/>
      <c r="G15" s="290"/>
      <c r="H15" s="290"/>
      <c r="I15" s="290"/>
    </row>
    <row r="16" spans="1:9" ht="86.4" customHeight="1" x14ac:dyDescent="0.3">
      <c r="A16" s="290"/>
      <c r="B16" s="290"/>
      <c r="C16" s="290"/>
      <c r="D16" s="290"/>
      <c r="E16" s="290"/>
      <c r="F16" s="290"/>
      <c r="G16" s="290"/>
      <c r="H16" s="290"/>
      <c r="I16" s="290"/>
    </row>
    <row r="17" spans="1:9" ht="52.8" customHeight="1" x14ac:dyDescent="0.3">
      <c r="A17" s="290"/>
      <c r="B17" s="290"/>
      <c r="C17" s="290"/>
      <c r="D17" s="290"/>
      <c r="E17" s="290"/>
      <c r="F17" s="290"/>
      <c r="G17" s="290"/>
      <c r="H17" s="290"/>
      <c r="I17" s="290"/>
    </row>
    <row r="18" spans="1:9" ht="81" customHeight="1" x14ac:dyDescent="0.3">
      <c r="A18" s="290"/>
      <c r="B18" s="290"/>
      <c r="C18" s="290"/>
      <c r="D18" s="290"/>
      <c r="E18" s="290"/>
      <c r="F18" s="290"/>
      <c r="G18" s="290"/>
      <c r="H18" s="290"/>
      <c r="I18" s="290"/>
    </row>
    <row r="19" spans="1:9" ht="23.4" customHeight="1" x14ac:dyDescent="0.3">
      <c r="A19" s="30"/>
      <c r="B19" s="30"/>
      <c r="C19" s="30"/>
      <c r="D19" s="30"/>
      <c r="E19" s="30"/>
      <c r="F19" s="30"/>
      <c r="G19" s="30"/>
      <c r="H19" s="30"/>
      <c r="I19" s="30"/>
    </row>
    <row r="20" spans="1:9" ht="36" customHeight="1" x14ac:dyDescent="0.3">
      <c r="A20" s="37" t="s">
        <v>354</v>
      </c>
      <c r="B20" s="37" t="s">
        <v>355</v>
      </c>
      <c r="C20" s="37" t="s">
        <v>356</v>
      </c>
      <c r="D20" s="30"/>
      <c r="E20" s="30"/>
      <c r="F20" s="30"/>
      <c r="G20" s="30"/>
      <c r="H20" s="30"/>
      <c r="I20" s="30"/>
    </row>
    <row r="21" spans="1:9" ht="27" customHeight="1" x14ac:dyDescent="0.3">
      <c r="A21" s="36">
        <v>1</v>
      </c>
      <c r="B21" s="40">
        <v>3</v>
      </c>
      <c r="C21" s="40">
        <v>447</v>
      </c>
      <c r="D21" s="30"/>
      <c r="E21" s="30"/>
      <c r="F21" s="30"/>
      <c r="G21" s="30"/>
      <c r="H21" s="30"/>
      <c r="I21" s="30"/>
    </row>
    <row r="22" spans="1:9" ht="33.6" customHeight="1" x14ac:dyDescent="0.3">
      <c r="A22" s="36">
        <v>2</v>
      </c>
      <c r="B22" s="40">
        <v>4</v>
      </c>
      <c r="C22" s="40">
        <v>449</v>
      </c>
      <c r="D22" s="30"/>
      <c r="E22" s="30"/>
      <c r="F22" s="30"/>
      <c r="G22" s="30"/>
      <c r="H22" s="30"/>
      <c r="I22" s="30"/>
    </row>
    <row r="23" spans="1:9" ht="31.2" customHeight="1" x14ac:dyDescent="0.3">
      <c r="A23" s="36">
        <v>3</v>
      </c>
      <c r="B23" s="40">
        <v>5</v>
      </c>
      <c r="C23" s="40">
        <v>450</v>
      </c>
      <c r="D23" s="30"/>
      <c r="E23" s="30"/>
      <c r="F23" s="30"/>
      <c r="G23" s="30"/>
      <c r="H23" s="30"/>
      <c r="I23" s="30"/>
    </row>
    <row r="24" spans="1:9" ht="30" customHeight="1" x14ac:dyDescent="0.3">
      <c r="A24" s="36">
        <v>4</v>
      </c>
      <c r="B24" s="40">
        <v>6</v>
      </c>
      <c r="C24" s="40">
        <v>451.9</v>
      </c>
      <c r="D24" s="30"/>
      <c r="E24" s="30"/>
      <c r="F24" s="30"/>
      <c r="G24" s="30"/>
      <c r="H24" s="30"/>
      <c r="I24" s="30"/>
    </row>
    <row r="25" spans="1:9" ht="31.2" customHeight="1" x14ac:dyDescent="0.3">
      <c r="A25" s="36">
        <v>5</v>
      </c>
      <c r="B25" s="40">
        <v>7</v>
      </c>
      <c r="C25" s="40">
        <v>452.7</v>
      </c>
      <c r="D25" s="30"/>
      <c r="E25" s="30"/>
      <c r="F25" s="30"/>
      <c r="G25" s="30"/>
      <c r="H25" s="30"/>
      <c r="I25" s="30"/>
    </row>
    <row r="26" spans="1:9" ht="31.8" customHeight="1" x14ac:dyDescent="0.3">
      <c r="A26" s="36">
        <v>6</v>
      </c>
      <c r="B26" s="40">
        <v>8</v>
      </c>
      <c r="C26" s="40">
        <v>453.7</v>
      </c>
      <c r="D26" s="30"/>
      <c r="E26" s="30"/>
      <c r="F26" s="30"/>
      <c r="G26" s="30"/>
      <c r="H26" s="30"/>
      <c r="I26" s="30"/>
    </row>
    <row r="27" spans="1:9" ht="30" customHeight="1" x14ac:dyDescent="0.3">
      <c r="A27" s="36">
        <v>7</v>
      </c>
      <c r="B27" s="40">
        <v>9</v>
      </c>
      <c r="C27" s="40">
        <v>454.6</v>
      </c>
      <c r="D27" s="30"/>
      <c r="E27" s="30"/>
      <c r="F27" s="30"/>
      <c r="G27" s="30"/>
      <c r="H27" s="30"/>
      <c r="I27" s="30"/>
    </row>
    <row r="28" spans="1:9" ht="24" customHeight="1" x14ac:dyDescent="0.3">
      <c r="A28" s="36">
        <v>8</v>
      </c>
      <c r="B28" s="40">
        <v>10</v>
      </c>
      <c r="C28" s="40">
        <v>455</v>
      </c>
      <c r="D28" s="30"/>
      <c r="E28" s="30"/>
      <c r="F28" s="30"/>
      <c r="G28" s="30"/>
      <c r="H28" s="30"/>
      <c r="I28" s="30"/>
    </row>
    <row r="29" spans="1:9" ht="30" customHeight="1" x14ac:dyDescent="0.3">
      <c r="A29" s="36">
        <v>9</v>
      </c>
      <c r="B29" s="40">
        <v>11</v>
      </c>
      <c r="C29" s="40">
        <v>456</v>
      </c>
      <c r="D29" s="30"/>
      <c r="E29" s="30"/>
      <c r="F29" s="30"/>
      <c r="G29" s="30"/>
      <c r="H29" s="30"/>
      <c r="I29" s="30"/>
    </row>
    <row r="30" spans="1:9" ht="31.2" customHeight="1" x14ac:dyDescent="0.3">
      <c r="A30" s="36">
        <v>10</v>
      </c>
      <c r="B30" s="40">
        <v>12</v>
      </c>
      <c r="C30" s="40">
        <v>456</v>
      </c>
      <c r="D30" s="30"/>
      <c r="E30" s="30"/>
      <c r="F30" s="30"/>
      <c r="G30" s="30"/>
      <c r="H30" s="30"/>
      <c r="I30" s="30"/>
    </row>
    <row r="31" spans="1:9" x14ac:dyDescent="0.3">
      <c r="A31" s="30"/>
      <c r="B31" s="30"/>
      <c r="C31" s="30"/>
      <c r="D31" s="30"/>
      <c r="E31" s="30"/>
      <c r="F31" s="30"/>
      <c r="G31" s="30"/>
      <c r="H31" s="30"/>
      <c r="I31" s="30"/>
    </row>
    <row r="32" spans="1:9" x14ac:dyDescent="0.3">
      <c r="A32" s="30"/>
      <c r="B32" s="30"/>
      <c r="C32" s="30"/>
      <c r="D32" s="30"/>
      <c r="E32" s="30"/>
      <c r="F32" s="30"/>
      <c r="G32" s="30"/>
      <c r="H32" s="30"/>
      <c r="I32" s="30"/>
    </row>
    <row r="33" spans="1:9" ht="35.4" customHeight="1" x14ac:dyDescent="0.3">
      <c r="A33" s="272" t="s">
        <v>357</v>
      </c>
      <c r="B33" s="272"/>
      <c r="C33" s="47">
        <v>10</v>
      </c>
      <c r="D33" s="30"/>
      <c r="F33" s="30"/>
      <c r="G33" s="30"/>
      <c r="H33" s="30"/>
      <c r="I33" s="30"/>
    </row>
    <row r="34" spans="1:9" ht="42" customHeight="1" x14ac:dyDescent="0.3">
      <c r="A34" s="272" t="s">
        <v>358</v>
      </c>
      <c r="B34" s="272"/>
      <c r="C34" s="47">
        <f>C33+1</f>
        <v>11</v>
      </c>
      <c r="D34" s="30"/>
      <c r="E34" s="30"/>
      <c r="F34" s="30"/>
      <c r="G34" s="30"/>
      <c r="H34" s="30"/>
      <c r="I34" s="30"/>
    </row>
    <row r="35" spans="1:9" ht="12.6" customHeight="1" x14ac:dyDescent="0.3">
      <c r="A35" s="30"/>
      <c r="B35" s="30"/>
      <c r="C35" s="30"/>
      <c r="D35" s="30"/>
      <c r="E35" s="30"/>
      <c r="F35" s="30"/>
      <c r="G35" s="30"/>
      <c r="H35" s="30"/>
      <c r="I35" s="30"/>
    </row>
    <row r="36" spans="1:9" hidden="1" x14ac:dyDescent="0.3">
      <c r="A36" s="30"/>
      <c r="B36" s="30"/>
      <c r="C36" s="30"/>
      <c r="D36" s="30"/>
      <c r="E36" s="30"/>
      <c r="F36" s="30"/>
      <c r="G36" s="30"/>
      <c r="H36" s="30"/>
      <c r="I36" s="30"/>
    </row>
    <row r="37" spans="1:9" hidden="1" x14ac:dyDescent="0.3">
      <c r="A37" s="257"/>
      <c r="B37" s="257"/>
      <c r="C37" s="257"/>
      <c r="D37" s="257"/>
      <c r="E37" s="257"/>
      <c r="F37" s="257"/>
      <c r="G37" s="257"/>
      <c r="H37" s="257"/>
      <c r="I37" s="257"/>
    </row>
    <row r="38" spans="1:9" hidden="1" x14ac:dyDescent="0.3">
      <c r="A38" s="257"/>
      <c r="B38" s="257"/>
      <c r="C38" s="257"/>
      <c r="D38" s="257"/>
      <c r="E38" s="257"/>
      <c r="F38" s="257"/>
      <c r="G38" s="257"/>
      <c r="H38" s="257"/>
      <c r="I38" s="257"/>
    </row>
    <row r="39" spans="1:9" hidden="1" x14ac:dyDescent="0.3">
      <c r="A39" s="257"/>
      <c r="B39" s="257"/>
      <c r="C39" s="257"/>
      <c r="D39" s="257"/>
      <c r="E39" s="257"/>
      <c r="F39" s="257"/>
      <c r="G39" s="257"/>
      <c r="H39" s="257"/>
      <c r="I39" s="257"/>
    </row>
    <row r="40" spans="1:9" hidden="1" x14ac:dyDescent="0.3">
      <c r="A40" s="257"/>
      <c r="B40" s="257"/>
      <c r="C40" s="257"/>
      <c r="D40" s="257"/>
      <c r="E40" s="257"/>
      <c r="F40" s="257"/>
      <c r="G40" s="257"/>
      <c r="H40" s="257"/>
      <c r="I40" s="257"/>
    </row>
    <row r="41" spans="1:9" hidden="1" x14ac:dyDescent="0.3">
      <c r="A41" s="257"/>
      <c r="B41" s="257"/>
      <c r="C41" s="257"/>
      <c r="D41" s="257"/>
      <c r="E41" s="257"/>
      <c r="F41" s="257"/>
      <c r="G41" s="257"/>
      <c r="H41" s="257"/>
      <c r="I41" s="257"/>
    </row>
    <row r="42" spans="1:9" hidden="1" x14ac:dyDescent="0.3">
      <c r="A42" s="257"/>
      <c r="B42" s="257"/>
      <c r="C42" s="257"/>
      <c r="D42" s="257"/>
      <c r="E42" s="257"/>
      <c r="F42" s="257"/>
      <c r="G42" s="257"/>
      <c r="H42" s="257"/>
      <c r="I42" s="257"/>
    </row>
    <row r="43" spans="1:9" ht="7.2" customHeight="1" x14ac:dyDescent="0.3">
      <c r="A43" s="257"/>
      <c r="B43" s="257"/>
      <c r="C43" s="257"/>
      <c r="D43" s="257"/>
      <c r="E43" s="257"/>
      <c r="F43" s="257"/>
      <c r="G43" s="257"/>
      <c r="H43" s="257"/>
      <c r="I43" s="257"/>
    </row>
    <row r="44" spans="1:9" hidden="1" x14ac:dyDescent="0.3">
      <c r="A44" s="30"/>
      <c r="B44" s="30"/>
      <c r="C44" s="30"/>
      <c r="D44" s="30"/>
      <c r="E44" s="30"/>
      <c r="F44" s="30"/>
      <c r="G44" s="30"/>
      <c r="H44" s="30"/>
      <c r="I44" s="30"/>
    </row>
    <row r="45" spans="1:9" hidden="1" x14ac:dyDescent="0.3">
      <c r="A45" s="30"/>
      <c r="B45" s="30"/>
      <c r="C45" s="30"/>
      <c r="D45" s="30"/>
      <c r="E45" s="30"/>
      <c r="F45" s="30"/>
      <c r="G45" s="30"/>
      <c r="H45" s="30"/>
      <c r="I45" s="30"/>
    </row>
    <row r="46" spans="1:9" ht="11.4" hidden="1" customHeight="1" x14ac:dyDescent="0.3">
      <c r="A46" s="30"/>
      <c r="B46" s="30"/>
      <c r="C46" s="30"/>
      <c r="D46" s="30"/>
      <c r="E46" s="30"/>
      <c r="F46" s="30"/>
      <c r="G46" s="30"/>
      <c r="H46" s="30"/>
      <c r="I46" s="30"/>
    </row>
    <row r="47" spans="1:9" hidden="1" x14ac:dyDescent="0.3">
      <c r="A47" s="30"/>
      <c r="B47" s="30"/>
      <c r="C47" s="30"/>
      <c r="D47" s="30"/>
      <c r="E47" s="30"/>
      <c r="F47" s="30"/>
      <c r="G47" s="30"/>
      <c r="H47" s="30"/>
      <c r="I47" s="30"/>
    </row>
    <row r="48" spans="1:9" x14ac:dyDescent="0.3">
      <c r="A48" s="30"/>
      <c r="B48" s="30"/>
      <c r="C48" s="30"/>
      <c r="D48" s="30"/>
      <c r="E48" s="30"/>
      <c r="F48" s="30"/>
      <c r="G48" s="30"/>
      <c r="H48" s="30"/>
      <c r="I48" s="30"/>
    </row>
    <row r="49" spans="1:9" x14ac:dyDescent="0.3">
      <c r="A49" s="30"/>
      <c r="B49" s="30"/>
      <c r="C49" s="30"/>
      <c r="D49" s="30"/>
      <c r="E49" s="30"/>
      <c r="F49" s="30"/>
      <c r="G49" s="30"/>
      <c r="H49" s="30"/>
      <c r="I49" s="30"/>
    </row>
    <row r="50" spans="1:9" x14ac:dyDescent="0.3">
      <c r="A50" s="30"/>
      <c r="B50" s="30"/>
      <c r="C50" s="30"/>
      <c r="D50" s="30"/>
      <c r="E50" s="30"/>
      <c r="F50" s="30"/>
      <c r="G50" s="30"/>
      <c r="H50" s="30"/>
      <c r="I50" s="30"/>
    </row>
    <row r="51" spans="1:9" x14ac:dyDescent="0.3">
      <c r="A51" s="30"/>
      <c r="B51" s="30"/>
      <c r="C51" s="30"/>
      <c r="D51" s="30"/>
      <c r="E51" s="30"/>
      <c r="F51" s="30"/>
      <c r="G51" s="30"/>
      <c r="H51" s="30"/>
      <c r="I51" s="30"/>
    </row>
    <row r="52" spans="1:9" x14ac:dyDescent="0.3">
      <c r="A52" s="30"/>
      <c r="B52" s="30"/>
      <c r="C52" s="30"/>
      <c r="D52" s="30"/>
      <c r="E52" s="30"/>
      <c r="F52" s="30"/>
      <c r="G52" s="30"/>
      <c r="H52" s="30"/>
      <c r="I52" s="30"/>
    </row>
    <row r="53" spans="1:9" x14ac:dyDescent="0.3">
      <c r="A53" s="30"/>
      <c r="B53" s="30"/>
      <c r="C53" s="30"/>
      <c r="D53" s="30"/>
      <c r="E53" s="30"/>
      <c r="F53" s="30"/>
      <c r="G53" s="30"/>
      <c r="H53" s="30"/>
      <c r="I53" s="30"/>
    </row>
    <row r="54" spans="1:9" x14ac:dyDescent="0.3">
      <c r="A54" s="30"/>
      <c r="B54" s="30"/>
      <c r="C54" s="30"/>
      <c r="D54" s="30"/>
      <c r="E54" s="30"/>
      <c r="F54" s="30"/>
      <c r="G54" s="30"/>
      <c r="H54" s="30"/>
      <c r="I54" s="30"/>
    </row>
    <row r="55" spans="1:9" x14ac:dyDescent="0.3">
      <c r="A55" s="30"/>
      <c r="B55" s="30"/>
      <c r="C55" s="30"/>
      <c r="D55" s="30"/>
      <c r="E55" s="30"/>
      <c r="F55" s="30"/>
      <c r="G55" s="30"/>
      <c r="H55" s="30"/>
      <c r="I55" s="30"/>
    </row>
    <row r="56" spans="1:9" x14ac:dyDescent="0.3">
      <c r="A56" s="30"/>
      <c r="B56" s="30"/>
      <c r="C56" s="30"/>
      <c r="D56" s="30"/>
      <c r="E56" s="30"/>
      <c r="F56" s="30"/>
      <c r="G56" s="30"/>
      <c r="H56" s="30"/>
      <c r="I56" s="30"/>
    </row>
    <row r="57" spans="1:9" x14ac:dyDescent="0.3">
      <c r="A57" s="30"/>
      <c r="B57" s="30"/>
      <c r="C57" s="30"/>
      <c r="D57" s="30"/>
      <c r="E57" s="30"/>
      <c r="F57" s="30"/>
      <c r="G57" s="30"/>
      <c r="H57" s="30"/>
      <c r="I57" s="30"/>
    </row>
    <row r="58" spans="1:9" x14ac:dyDescent="0.3">
      <c r="A58" s="30"/>
      <c r="B58" s="30"/>
      <c r="C58" s="30"/>
      <c r="D58" s="30"/>
      <c r="E58" s="30"/>
      <c r="F58" s="30"/>
      <c r="G58" s="30"/>
      <c r="H58" s="30"/>
      <c r="I58" s="30"/>
    </row>
    <row r="59" spans="1:9" x14ac:dyDescent="0.3">
      <c r="A59" s="30"/>
      <c r="B59" s="30"/>
      <c r="C59" s="30"/>
      <c r="D59" s="30"/>
      <c r="E59" s="30"/>
      <c r="F59" s="30"/>
      <c r="G59" s="30"/>
      <c r="H59" s="30"/>
      <c r="I59" s="30"/>
    </row>
    <row r="60" spans="1:9" x14ac:dyDescent="0.3">
      <c r="A60" s="30"/>
      <c r="B60" s="30"/>
      <c r="C60" s="30"/>
      <c r="D60" s="30"/>
      <c r="E60" s="30"/>
      <c r="F60" s="30"/>
      <c r="G60" s="30"/>
      <c r="H60" s="30"/>
      <c r="I60" s="30"/>
    </row>
    <row r="61" spans="1:9" x14ac:dyDescent="0.3">
      <c r="A61" s="30"/>
      <c r="B61" s="30"/>
      <c r="C61" s="30"/>
      <c r="D61" s="30"/>
      <c r="E61" s="30"/>
      <c r="F61" s="30"/>
      <c r="G61" s="30"/>
      <c r="H61" s="30"/>
      <c r="I61" s="30"/>
    </row>
    <row r="62" spans="1:9" x14ac:dyDescent="0.3">
      <c r="A62" s="30"/>
      <c r="B62" s="30"/>
      <c r="C62" s="30"/>
      <c r="D62" s="30"/>
      <c r="E62" s="30"/>
      <c r="F62" s="30"/>
      <c r="G62" s="30"/>
      <c r="H62" s="30"/>
      <c r="I62" s="30"/>
    </row>
    <row r="63" spans="1:9" x14ac:dyDescent="0.3">
      <c r="A63" s="30"/>
      <c r="B63" s="30"/>
      <c r="C63" s="30"/>
      <c r="D63" s="30"/>
      <c r="E63" s="30"/>
      <c r="F63" s="30"/>
      <c r="G63" s="30"/>
      <c r="H63" s="30"/>
      <c r="I63" s="30"/>
    </row>
    <row r="64" spans="1:9" x14ac:dyDescent="0.3">
      <c r="A64" s="30"/>
      <c r="B64" s="30"/>
      <c r="C64" s="30"/>
      <c r="D64" s="30"/>
      <c r="E64" s="30"/>
      <c r="F64" s="30"/>
      <c r="G64" s="30"/>
      <c r="H64" s="30"/>
      <c r="I64" s="30"/>
    </row>
    <row r="65" spans="1:9" x14ac:dyDescent="0.3">
      <c r="A65" s="30"/>
      <c r="B65" s="30"/>
      <c r="C65" s="30"/>
      <c r="D65" s="30"/>
      <c r="E65" s="30"/>
      <c r="F65" s="30"/>
      <c r="G65" s="30"/>
      <c r="H65" s="30"/>
      <c r="I65" s="30"/>
    </row>
    <row r="66" spans="1:9" x14ac:dyDescent="0.3">
      <c r="A66" s="30"/>
      <c r="B66" s="30"/>
      <c r="C66" s="30"/>
      <c r="D66" s="30"/>
      <c r="E66" s="30"/>
      <c r="F66" s="30"/>
      <c r="G66" s="30"/>
      <c r="H66" s="30"/>
      <c r="I66" s="30"/>
    </row>
    <row r="67" spans="1:9" x14ac:dyDescent="0.3">
      <c r="A67" s="30"/>
      <c r="B67" s="30"/>
      <c r="C67" s="30"/>
      <c r="D67" s="30"/>
      <c r="E67" s="30"/>
      <c r="F67" s="30"/>
      <c r="G67" s="30"/>
      <c r="H67" s="30"/>
      <c r="I67" s="30"/>
    </row>
    <row r="68" spans="1:9" x14ac:dyDescent="0.3">
      <c r="A68" s="30"/>
      <c r="B68" s="30"/>
      <c r="C68" s="30"/>
      <c r="D68" s="30"/>
      <c r="E68" s="30"/>
      <c r="F68" s="30"/>
      <c r="G68" s="30"/>
      <c r="H68" s="30"/>
      <c r="I68" s="30"/>
    </row>
    <row r="69" spans="1:9" x14ac:dyDescent="0.3">
      <c r="A69" s="30"/>
      <c r="B69" s="30"/>
      <c r="C69" s="30"/>
      <c r="D69" s="30"/>
      <c r="E69" s="30"/>
      <c r="F69" s="30"/>
      <c r="G69" s="30"/>
      <c r="H69" s="30"/>
      <c r="I69" s="30"/>
    </row>
    <row r="70" spans="1:9" x14ac:dyDescent="0.3">
      <c r="A70" s="30"/>
      <c r="B70" s="30"/>
      <c r="C70" s="30"/>
      <c r="D70" s="30"/>
      <c r="E70" s="30"/>
      <c r="F70" s="30"/>
      <c r="G70" s="30"/>
      <c r="H70" s="30"/>
      <c r="I70" s="30"/>
    </row>
    <row r="71" spans="1:9" x14ac:dyDescent="0.3">
      <c r="A71" s="30"/>
      <c r="B71" s="30"/>
      <c r="C71" s="30"/>
      <c r="D71" s="30"/>
      <c r="E71" s="30"/>
      <c r="F71" s="30"/>
      <c r="G71" s="30"/>
      <c r="H71" s="30"/>
      <c r="I71" s="30"/>
    </row>
    <row r="72" spans="1:9" x14ac:dyDescent="0.3">
      <c r="A72" s="30"/>
      <c r="B72" s="30"/>
      <c r="C72" s="30"/>
      <c r="D72" s="30"/>
      <c r="E72" s="30"/>
      <c r="F72" s="30"/>
      <c r="G72" s="30"/>
      <c r="H72" s="30"/>
      <c r="I72" s="30"/>
    </row>
    <row r="73" spans="1:9" x14ac:dyDescent="0.3">
      <c r="A73" s="30"/>
      <c r="B73" s="30"/>
      <c r="C73" s="30"/>
      <c r="D73" s="30"/>
      <c r="E73" s="30"/>
      <c r="F73" s="30"/>
      <c r="G73" s="30"/>
      <c r="H73" s="30"/>
      <c r="I73" s="30"/>
    </row>
    <row r="74" spans="1:9" x14ac:dyDescent="0.3">
      <c r="A74" s="30"/>
      <c r="B74" s="30"/>
      <c r="C74" s="30"/>
      <c r="D74" s="30"/>
      <c r="E74" s="30"/>
      <c r="F74" s="30"/>
      <c r="G74" s="30"/>
      <c r="H74" s="30"/>
      <c r="I74" s="30"/>
    </row>
    <row r="75" spans="1:9" x14ac:dyDescent="0.3">
      <c r="A75" s="30"/>
      <c r="B75" s="30"/>
      <c r="C75" s="30"/>
      <c r="D75" s="30"/>
      <c r="E75" s="30"/>
      <c r="F75" s="30"/>
      <c r="G75" s="30"/>
      <c r="H75" s="30"/>
      <c r="I75" s="30"/>
    </row>
    <row r="76" spans="1:9" x14ac:dyDescent="0.3">
      <c r="A76" s="30"/>
      <c r="B76" s="30"/>
      <c r="C76" s="30"/>
      <c r="D76" s="30"/>
      <c r="E76" s="30"/>
      <c r="F76" s="30"/>
      <c r="G76" s="30"/>
      <c r="H76" s="30"/>
      <c r="I76" s="30"/>
    </row>
    <row r="77" spans="1:9" x14ac:dyDescent="0.3">
      <c r="A77" s="30"/>
      <c r="B77" s="30"/>
      <c r="C77" s="30"/>
      <c r="D77" s="30"/>
      <c r="E77" s="30"/>
      <c r="F77" s="30"/>
      <c r="G77" s="30"/>
      <c r="H77" s="30"/>
      <c r="I77" s="30"/>
    </row>
    <row r="78" spans="1:9" x14ac:dyDescent="0.3">
      <c r="A78" s="30"/>
      <c r="B78" s="30"/>
      <c r="C78" s="30"/>
      <c r="D78" s="30"/>
      <c r="E78" s="30"/>
      <c r="F78" s="30"/>
      <c r="G78" s="30"/>
      <c r="H78" s="30"/>
      <c r="I78" s="30"/>
    </row>
    <row r="79" spans="1:9" x14ac:dyDescent="0.3">
      <c r="A79" s="30"/>
      <c r="B79" s="30"/>
      <c r="C79" s="30"/>
      <c r="D79" s="30"/>
      <c r="E79" s="30"/>
      <c r="F79" s="30"/>
      <c r="G79" s="30"/>
      <c r="H79" s="30"/>
      <c r="I79" s="30"/>
    </row>
    <row r="80" spans="1:9" x14ac:dyDescent="0.3">
      <c r="A80" s="30"/>
      <c r="B80" s="30"/>
      <c r="C80" s="30"/>
      <c r="D80" s="30"/>
      <c r="E80" s="30"/>
      <c r="F80" s="30"/>
      <c r="G80" s="30"/>
      <c r="H80" s="30"/>
      <c r="I80" s="30"/>
    </row>
    <row r="81" spans="1:9" x14ac:dyDescent="0.3">
      <c r="A81" s="30"/>
      <c r="B81" s="30"/>
      <c r="C81" s="30"/>
      <c r="D81" s="30"/>
      <c r="E81" s="30"/>
      <c r="F81" s="30"/>
      <c r="G81" s="30"/>
      <c r="H81" s="30"/>
      <c r="I81" s="30"/>
    </row>
    <row r="82" spans="1:9" x14ac:dyDescent="0.3">
      <c r="A82" s="30"/>
      <c r="B82" s="30"/>
      <c r="C82" s="30"/>
      <c r="D82" s="30"/>
      <c r="E82" s="30"/>
      <c r="F82" s="30"/>
      <c r="G82" s="30"/>
      <c r="H82" s="30"/>
      <c r="I82" s="30"/>
    </row>
    <row r="83" spans="1:9" x14ac:dyDescent="0.3">
      <c r="A83" s="30"/>
      <c r="B83" s="30"/>
      <c r="C83" s="30"/>
      <c r="D83" s="30"/>
      <c r="E83" s="30"/>
      <c r="F83" s="30"/>
      <c r="G83" s="30"/>
      <c r="H83" s="30"/>
      <c r="I83" s="30"/>
    </row>
    <row r="84" spans="1:9" x14ac:dyDescent="0.3">
      <c r="A84" s="30"/>
      <c r="B84" s="30"/>
      <c r="C84" s="30"/>
      <c r="D84" s="30"/>
      <c r="E84" s="30"/>
      <c r="F84" s="30"/>
      <c r="G84" s="30"/>
      <c r="H84" s="30"/>
      <c r="I84" s="30"/>
    </row>
    <row r="85" spans="1:9" x14ac:dyDescent="0.3">
      <c r="A85" s="30"/>
      <c r="B85" s="30"/>
      <c r="C85" s="30"/>
      <c r="D85" s="30"/>
      <c r="E85" s="30"/>
      <c r="F85" s="30"/>
      <c r="G85" s="30"/>
      <c r="H85" s="30"/>
      <c r="I85" s="30"/>
    </row>
    <row r="86" spans="1:9" x14ac:dyDescent="0.3">
      <c r="A86" s="30"/>
      <c r="B86" s="30"/>
      <c r="C86" s="30"/>
      <c r="D86" s="30"/>
      <c r="E86" s="30"/>
      <c r="F86" s="30"/>
      <c r="G86" s="30"/>
      <c r="H86" s="30"/>
      <c r="I86" s="30"/>
    </row>
    <row r="87" spans="1:9" x14ac:dyDescent="0.3">
      <c r="A87" s="30"/>
      <c r="B87" s="30"/>
      <c r="C87" s="30"/>
      <c r="D87" s="30"/>
      <c r="E87" s="30"/>
      <c r="F87" s="30"/>
      <c r="G87" s="30"/>
      <c r="H87" s="30"/>
      <c r="I87" s="30"/>
    </row>
    <row r="88" spans="1:9" x14ac:dyDescent="0.3">
      <c r="A88" s="30"/>
      <c r="B88" s="30"/>
      <c r="C88" s="30"/>
      <c r="D88" s="30"/>
      <c r="E88" s="30"/>
      <c r="F88" s="30"/>
      <c r="G88" s="30"/>
      <c r="H88" s="30"/>
      <c r="I88" s="30"/>
    </row>
    <row r="89" spans="1:9" x14ac:dyDescent="0.3">
      <c r="A89" s="30"/>
      <c r="B89" s="30"/>
      <c r="C89" s="30"/>
      <c r="D89" s="30"/>
      <c r="E89" s="30"/>
      <c r="F89" s="30"/>
      <c r="G89" s="30"/>
      <c r="H89" s="30"/>
      <c r="I89" s="30"/>
    </row>
    <row r="90" spans="1:9" x14ac:dyDescent="0.3">
      <c r="A90" s="30"/>
      <c r="B90" s="30"/>
      <c r="C90" s="30"/>
      <c r="D90" s="30"/>
      <c r="E90" s="30"/>
      <c r="F90" s="30"/>
      <c r="G90" s="30"/>
      <c r="H90" s="30"/>
      <c r="I90" s="30"/>
    </row>
    <row r="91" spans="1:9" x14ac:dyDescent="0.3">
      <c r="A91" s="30"/>
      <c r="B91" s="30"/>
      <c r="C91" s="30"/>
      <c r="D91" s="30"/>
      <c r="E91" s="30"/>
      <c r="F91" s="30"/>
      <c r="G91" s="30"/>
      <c r="H91" s="30"/>
      <c r="I91" s="30"/>
    </row>
  </sheetData>
  <mergeCells count="6">
    <mergeCell ref="A37:I43"/>
    <mergeCell ref="A1:I1"/>
    <mergeCell ref="A3:I18"/>
    <mergeCell ref="A33:B33"/>
    <mergeCell ref="A34:B34"/>
    <mergeCell ref="A2:I2"/>
  </mergeCells>
  <pageMargins left="0.7" right="0.7" top="0.75" bottom="0.75" header="0.3" footer="0.3"/>
  <pageSetup paperSize="9" scale="77"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9D14A-0DD8-43A9-B558-6E1F2CEFE210}">
  <dimension ref="A1:H43"/>
  <sheetViews>
    <sheetView topLeftCell="A16" zoomScaleNormal="100" zoomScaleSheetLayoutView="107" workbookViewId="0">
      <selection activeCell="H22" sqref="H22"/>
    </sheetView>
  </sheetViews>
  <sheetFormatPr defaultColWidth="10.77734375" defaultRowHeight="14.4" x14ac:dyDescent="0.3"/>
  <cols>
    <col min="1" max="1" width="8.77734375" customWidth="1"/>
    <col min="2" max="2" width="4.33203125" customWidth="1"/>
    <col min="3" max="3" width="17.88671875" customWidth="1"/>
    <col min="4" max="4" width="13.21875" customWidth="1"/>
    <col min="5" max="5" width="12.77734375" customWidth="1"/>
    <col min="6" max="6" width="20.88671875" customWidth="1"/>
    <col min="7" max="7" width="32.6640625" customWidth="1"/>
    <col min="8" max="8" width="12.21875" customWidth="1"/>
  </cols>
  <sheetData>
    <row r="1" spans="1:8" ht="28.8" x14ac:dyDescent="0.55000000000000004">
      <c r="A1" s="259" t="s">
        <v>359</v>
      </c>
      <c r="B1" s="259"/>
      <c r="C1" s="259"/>
      <c r="D1" s="259"/>
      <c r="E1" s="259"/>
      <c r="F1" s="259"/>
      <c r="G1" s="259"/>
      <c r="H1" s="259"/>
    </row>
    <row r="2" spans="1:8" ht="6.6" customHeight="1" x14ac:dyDescent="0.3">
      <c r="A2" s="200"/>
      <c r="B2" s="200"/>
      <c r="C2" s="200"/>
      <c r="D2" s="200"/>
      <c r="E2" s="200"/>
      <c r="F2" s="200"/>
      <c r="G2" s="200"/>
      <c r="H2" s="200"/>
    </row>
    <row r="3" spans="1:8" x14ac:dyDescent="0.3">
      <c r="A3" s="253" t="s">
        <v>390</v>
      </c>
      <c r="B3" s="294"/>
      <c r="C3" s="294"/>
      <c r="D3" s="294"/>
      <c r="E3" s="294"/>
      <c r="F3" s="294"/>
      <c r="G3" s="294"/>
      <c r="H3" s="294"/>
    </row>
    <row r="4" spans="1:8" x14ac:dyDescent="0.3">
      <c r="A4" s="295"/>
      <c r="B4" s="295"/>
      <c r="C4" s="295"/>
      <c r="D4" s="295"/>
      <c r="E4" s="295"/>
      <c r="F4" s="295"/>
      <c r="G4" s="295"/>
      <c r="H4" s="295"/>
    </row>
    <row r="5" spans="1:8" x14ac:dyDescent="0.3">
      <c r="A5" s="295"/>
      <c r="B5" s="295"/>
      <c r="C5" s="295"/>
      <c r="D5" s="295"/>
      <c r="E5" s="295"/>
      <c r="F5" s="295"/>
      <c r="G5" s="295"/>
      <c r="H5" s="295"/>
    </row>
    <row r="6" spans="1:8" x14ac:dyDescent="0.3">
      <c r="A6" s="295"/>
      <c r="B6" s="295"/>
      <c r="C6" s="295"/>
      <c r="D6" s="295"/>
      <c r="E6" s="295"/>
      <c r="F6" s="295"/>
      <c r="G6" s="295"/>
      <c r="H6" s="295"/>
    </row>
    <row r="7" spans="1:8" x14ac:dyDescent="0.3">
      <c r="A7" s="295"/>
      <c r="B7" s="295"/>
      <c r="C7" s="295"/>
      <c r="D7" s="295"/>
      <c r="E7" s="295"/>
      <c r="F7" s="295"/>
      <c r="G7" s="295"/>
      <c r="H7" s="295"/>
    </row>
    <row r="8" spans="1:8" ht="25.8" customHeight="1" x14ac:dyDescent="0.3">
      <c r="A8" s="295"/>
      <c r="B8" s="295"/>
      <c r="C8" s="295"/>
      <c r="D8" s="295"/>
      <c r="E8" s="295"/>
      <c r="F8" s="295"/>
      <c r="G8" s="295"/>
      <c r="H8" s="295"/>
    </row>
    <row r="9" spans="1:8" ht="21" customHeight="1" x14ac:dyDescent="0.3">
      <c r="A9" s="295"/>
      <c r="B9" s="295"/>
      <c r="C9" s="295"/>
      <c r="D9" s="295"/>
      <c r="E9" s="295"/>
      <c r="F9" s="295"/>
      <c r="G9" s="295"/>
      <c r="H9" s="295"/>
    </row>
    <row r="10" spans="1:8" x14ac:dyDescent="0.3">
      <c r="A10" s="295"/>
      <c r="B10" s="295"/>
      <c r="C10" s="295"/>
      <c r="D10" s="295"/>
      <c r="E10" s="295"/>
      <c r="F10" s="295"/>
      <c r="G10" s="295"/>
      <c r="H10" s="295"/>
    </row>
    <row r="11" spans="1:8" ht="22.8" customHeight="1" x14ac:dyDescent="0.3">
      <c r="A11" s="295"/>
      <c r="B11" s="295"/>
      <c r="C11" s="295"/>
      <c r="D11" s="295"/>
      <c r="E11" s="295"/>
      <c r="F11" s="295"/>
      <c r="G11" s="295"/>
      <c r="H11" s="295"/>
    </row>
    <row r="12" spans="1:8" x14ac:dyDescent="0.3">
      <c r="A12" s="295"/>
      <c r="B12" s="295"/>
      <c r="C12" s="295"/>
      <c r="D12" s="295"/>
      <c r="E12" s="295"/>
      <c r="F12" s="295"/>
      <c r="G12" s="295"/>
      <c r="H12" s="295"/>
    </row>
    <row r="13" spans="1:8" ht="27" customHeight="1" x14ac:dyDescent="0.3">
      <c r="A13" s="295"/>
      <c r="B13" s="295"/>
      <c r="C13" s="295"/>
      <c r="D13" s="295"/>
      <c r="E13" s="295"/>
      <c r="F13" s="295"/>
      <c r="G13" s="295"/>
      <c r="H13" s="295"/>
    </row>
    <row r="14" spans="1:8" x14ac:dyDescent="0.3">
      <c r="A14" s="295"/>
      <c r="B14" s="295"/>
      <c r="C14" s="295"/>
      <c r="D14" s="295"/>
      <c r="E14" s="295"/>
      <c r="F14" s="295"/>
      <c r="G14" s="295"/>
      <c r="H14" s="295"/>
    </row>
    <row r="15" spans="1:8" ht="121.2" customHeight="1" x14ac:dyDescent="0.3">
      <c r="A15" s="295"/>
      <c r="B15" s="295"/>
      <c r="C15" s="295"/>
      <c r="D15" s="295"/>
      <c r="E15" s="295"/>
      <c r="F15" s="295"/>
      <c r="G15" s="295"/>
      <c r="H15" s="295"/>
    </row>
    <row r="16" spans="1:8" ht="29.4" customHeight="1" x14ac:dyDescent="0.3">
      <c r="A16" s="296" t="s">
        <v>360</v>
      </c>
      <c r="B16" s="225"/>
      <c r="C16" s="57" t="s">
        <v>79</v>
      </c>
      <c r="D16" s="59"/>
      <c r="E16" s="59"/>
      <c r="F16" s="59"/>
      <c r="G16" s="59"/>
      <c r="H16" s="59"/>
    </row>
    <row r="17" spans="1:8" ht="46.2" customHeight="1" x14ac:dyDescent="0.3">
      <c r="A17" s="30"/>
      <c r="B17" s="30"/>
      <c r="C17" s="44" t="s">
        <v>354</v>
      </c>
      <c r="D17" s="112" t="s">
        <v>361</v>
      </c>
      <c r="E17" s="44" t="s">
        <v>362</v>
      </c>
      <c r="F17" s="44" t="s">
        <v>363</v>
      </c>
      <c r="G17" s="44" t="s">
        <v>335</v>
      </c>
      <c r="H17" s="59"/>
    </row>
    <row r="18" spans="1:8" ht="46.2" customHeight="1" x14ac:dyDescent="0.3">
      <c r="A18" s="30"/>
      <c r="B18" s="30"/>
      <c r="C18" s="46">
        <v>1</v>
      </c>
      <c r="D18" s="46">
        <v>160</v>
      </c>
      <c r="E18" s="46">
        <v>305</v>
      </c>
      <c r="F18" s="46" t="s">
        <v>186</v>
      </c>
      <c r="G18" s="91" t="s">
        <v>396</v>
      </c>
      <c r="H18" s="59"/>
    </row>
    <row r="19" spans="1:8" ht="46.2" customHeight="1" x14ac:dyDescent="0.3">
      <c r="A19" s="30"/>
      <c r="B19" s="30"/>
      <c r="C19" s="46">
        <v>2</v>
      </c>
      <c r="D19" s="46">
        <v>140</v>
      </c>
      <c r="E19" s="46">
        <v>305</v>
      </c>
      <c r="F19" s="46" t="s">
        <v>186</v>
      </c>
      <c r="G19" s="91" t="s">
        <v>396</v>
      </c>
      <c r="H19" s="59"/>
    </row>
    <row r="20" spans="1:8" ht="46.2" customHeight="1" x14ac:dyDescent="0.3">
      <c r="A20" s="30"/>
      <c r="B20" s="30"/>
      <c r="C20" s="46">
        <v>3</v>
      </c>
      <c r="D20" s="46">
        <v>130</v>
      </c>
      <c r="E20" s="46">
        <v>305</v>
      </c>
      <c r="F20" s="46" t="s">
        <v>186</v>
      </c>
      <c r="G20" s="91" t="s">
        <v>396</v>
      </c>
      <c r="H20" s="59"/>
    </row>
    <row r="21" spans="1:8" ht="46.2" customHeight="1" x14ac:dyDescent="0.3">
      <c r="A21" s="30"/>
      <c r="B21" s="30"/>
      <c r="C21" s="46">
        <v>4</v>
      </c>
      <c r="D21" s="46">
        <v>120</v>
      </c>
      <c r="E21" s="46">
        <v>305</v>
      </c>
      <c r="F21" s="46" t="s">
        <v>186</v>
      </c>
      <c r="G21" s="91" t="s">
        <v>396</v>
      </c>
      <c r="H21" s="59"/>
    </row>
    <row r="22" spans="1:8" ht="46.2" customHeight="1" x14ac:dyDescent="0.3">
      <c r="A22" s="30"/>
      <c r="B22" s="30"/>
      <c r="C22" s="46">
        <v>5</v>
      </c>
      <c r="D22" s="46">
        <v>110</v>
      </c>
      <c r="E22" s="46">
        <v>306</v>
      </c>
      <c r="F22" s="46" t="s">
        <v>15</v>
      </c>
      <c r="G22" s="91" t="s">
        <v>396</v>
      </c>
      <c r="H22" s="59"/>
    </row>
    <row r="23" spans="1:8" ht="46.2" customHeight="1" x14ac:dyDescent="0.3">
      <c r="A23" s="30"/>
      <c r="B23" s="30"/>
      <c r="C23" s="46">
        <v>6</v>
      </c>
      <c r="D23" s="46">
        <v>100</v>
      </c>
      <c r="E23" s="46">
        <v>308</v>
      </c>
      <c r="F23" s="46" t="s">
        <v>15</v>
      </c>
      <c r="G23" s="91" t="s">
        <v>396</v>
      </c>
      <c r="H23" s="59"/>
    </row>
    <row r="24" spans="1:8" x14ac:dyDescent="0.3">
      <c r="A24" s="30"/>
      <c r="B24" s="30"/>
      <c r="C24" s="30"/>
      <c r="D24" s="30"/>
      <c r="E24" s="30"/>
      <c r="F24" s="30"/>
      <c r="G24" s="30"/>
      <c r="H24" s="30"/>
    </row>
    <row r="25" spans="1:8" x14ac:dyDescent="0.3">
      <c r="A25" s="30"/>
      <c r="B25" s="30"/>
      <c r="C25" s="30"/>
      <c r="D25" s="30"/>
      <c r="E25" s="30"/>
      <c r="F25" s="30"/>
      <c r="G25" s="30"/>
      <c r="H25" s="30"/>
    </row>
    <row r="26" spans="1:8" x14ac:dyDescent="0.3">
      <c r="A26" s="30"/>
      <c r="B26" s="30"/>
      <c r="C26" s="30"/>
      <c r="D26" s="30"/>
      <c r="E26" s="30"/>
      <c r="F26" s="30"/>
      <c r="G26" s="30"/>
      <c r="H26" s="30"/>
    </row>
    <row r="27" spans="1:8" x14ac:dyDescent="0.3">
      <c r="A27" s="30"/>
      <c r="B27" s="30"/>
      <c r="C27" s="30"/>
      <c r="D27" s="30"/>
      <c r="E27" s="30"/>
      <c r="F27" s="30"/>
      <c r="G27" s="30"/>
      <c r="H27" s="30"/>
    </row>
    <row r="28" spans="1:8" x14ac:dyDescent="0.3">
      <c r="A28" s="30"/>
      <c r="B28" s="30"/>
      <c r="C28" s="30"/>
      <c r="D28" s="30"/>
      <c r="E28" s="30"/>
      <c r="F28" s="30"/>
      <c r="G28" s="30"/>
      <c r="H28" s="30"/>
    </row>
    <row r="29" spans="1:8" x14ac:dyDescent="0.3">
      <c r="A29" s="30"/>
      <c r="B29" s="30"/>
      <c r="C29" s="30"/>
      <c r="D29" s="30"/>
      <c r="E29" s="30"/>
      <c r="F29" s="30"/>
      <c r="G29" s="30"/>
      <c r="H29" s="30"/>
    </row>
    <row r="30" spans="1:8" x14ac:dyDescent="0.3">
      <c r="A30" s="30"/>
      <c r="B30" s="30"/>
      <c r="C30" s="30"/>
      <c r="D30" s="30"/>
      <c r="E30" s="30"/>
      <c r="F30" s="30"/>
      <c r="G30" s="30"/>
      <c r="H30" s="30"/>
    </row>
    <row r="31" spans="1:8" x14ac:dyDescent="0.3">
      <c r="A31" s="30"/>
      <c r="B31" s="30"/>
      <c r="C31" s="30"/>
      <c r="D31" s="30"/>
      <c r="E31" s="30"/>
      <c r="F31" s="30"/>
      <c r="G31" s="30"/>
      <c r="H31" s="30"/>
    </row>
    <row r="32" spans="1:8" x14ac:dyDescent="0.3">
      <c r="A32" s="30"/>
      <c r="B32" s="30"/>
      <c r="C32" s="30"/>
      <c r="D32" s="30"/>
      <c r="E32" s="30"/>
      <c r="F32" s="30"/>
      <c r="G32" s="30"/>
      <c r="H32" s="30"/>
    </row>
    <row r="33" spans="1:8" x14ac:dyDescent="0.3">
      <c r="A33" s="30"/>
      <c r="B33" s="30"/>
      <c r="C33" s="30"/>
      <c r="D33" s="30"/>
      <c r="E33" s="30"/>
      <c r="F33" s="30"/>
      <c r="G33" s="30"/>
      <c r="H33" s="30"/>
    </row>
    <row r="34" spans="1:8" x14ac:dyDescent="0.3">
      <c r="A34" s="30"/>
      <c r="B34" s="30"/>
      <c r="C34" s="30"/>
      <c r="D34" s="30"/>
      <c r="E34" s="30"/>
      <c r="F34" s="30"/>
      <c r="G34" s="30"/>
      <c r="H34" s="31"/>
    </row>
    <row r="35" spans="1:8" ht="19.2" customHeight="1" x14ac:dyDescent="0.3">
      <c r="A35" s="30"/>
      <c r="B35" s="30"/>
      <c r="C35" s="30"/>
      <c r="D35" s="30"/>
      <c r="E35" s="30"/>
      <c r="F35" s="30"/>
      <c r="G35" s="30"/>
      <c r="H35" s="30"/>
    </row>
    <row r="36" spans="1:8" ht="18.600000000000001" customHeight="1" x14ac:dyDescent="0.3">
      <c r="A36" s="30"/>
      <c r="B36" s="30"/>
      <c r="C36" s="30"/>
      <c r="D36" s="30"/>
      <c r="E36" s="30"/>
      <c r="F36" s="30"/>
      <c r="G36" s="30"/>
      <c r="H36" s="30"/>
    </row>
    <row r="37" spans="1:8" ht="19.2" customHeight="1" x14ac:dyDescent="0.3">
      <c r="A37" s="30"/>
      <c r="B37" s="30"/>
      <c r="C37" s="30"/>
      <c r="D37" s="30"/>
      <c r="E37" s="30"/>
      <c r="F37" s="30"/>
      <c r="G37" s="30"/>
      <c r="H37" s="30"/>
    </row>
    <row r="38" spans="1:8" x14ac:dyDescent="0.3">
      <c r="A38" s="30"/>
      <c r="B38" s="30"/>
      <c r="C38" s="30"/>
      <c r="D38" s="30"/>
      <c r="E38" s="30"/>
      <c r="F38" s="30"/>
      <c r="G38" s="30"/>
      <c r="H38" s="30"/>
    </row>
    <row r="39" spans="1:8" ht="4.2" customHeight="1" x14ac:dyDescent="0.3">
      <c r="A39" s="30"/>
      <c r="B39" s="30"/>
      <c r="C39" s="30"/>
      <c r="D39" s="30"/>
      <c r="E39" s="30"/>
      <c r="F39" s="30"/>
      <c r="G39" s="30"/>
      <c r="H39" s="30"/>
    </row>
    <row r="40" spans="1:8" ht="49.8" customHeight="1" x14ac:dyDescent="0.3">
      <c r="A40" s="30"/>
      <c r="B40" s="30"/>
      <c r="C40" s="87" t="s">
        <v>364</v>
      </c>
      <c r="D40" s="57">
        <v>140</v>
      </c>
      <c r="E40" s="30"/>
      <c r="F40" s="88" t="s">
        <v>365</v>
      </c>
      <c r="G40" s="69">
        <v>200</v>
      </c>
      <c r="H40" s="30"/>
    </row>
    <row r="41" spans="1:8" x14ac:dyDescent="0.3">
      <c r="A41" s="30"/>
      <c r="B41" s="30"/>
      <c r="C41" s="30"/>
      <c r="D41" s="30"/>
      <c r="E41" s="30"/>
      <c r="F41" s="30"/>
      <c r="G41" s="30"/>
      <c r="H41" s="30"/>
    </row>
    <row r="42" spans="1:8" x14ac:dyDescent="0.3">
      <c r="A42" s="30"/>
      <c r="B42" s="30"/>
      <c r="C42" s="30"/>
      <c r="D42" s="30"/>
      <c r="E42" s="30"/>
      <c r="F42" s="30"/>
      <c r="G42" s="30"/>
      <c r="H42" s="30"/>
    </row>
    <row r="43" spans="1:8" x14ac:dyDescent="0.3">
      <c r="A43" s="30"/>
      <c r="B43" s="30"/>
      <c r="C43" s="30"/>
      <c r="D43" s="30"/>
      <c r="E43" s="30"/>
      <c r="F43" s="30"/>
      <c r="G43" s="30"/>
      <c r="H43" s="30"/>
    </row>
  </sheetData>
  <mergeCells count="4">
    <mergeCell ref="A1:H1"/>
    <mergeCell ref="A3:H15"/>
    <mergeCell ref="A16:B16"/>
    <mergeCell ref="A2:H2"/>
  </mergeCells>
  <dataValidations count="1">
    <dataValidation type="list" allowBlank="1" showInputMessage="1" showErrorMessage="1" sqref="C16" xr:uid="{EFDA0D6B-738B-4195-853B-763C6B4CA03B}">
      <formula1>"Ton,Mpa,Psi,Bar,KN"</formula1>
    </dataValidation>
  </dataValidations>
  <pageMargins left="0.7" right="0.7" top="0.75" bottom="0.75" header="0.3" footer="0.3"/>
  <pageSetup paperSize="9" scale="71"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EBDA9-06DA-4590-9E14-61AF1746E45C}">
  <dimension ref="A1:T45"/>
  <sheetViews>
    <sheetView topLeftCell="A9" zoomScale="40" zoomScaleNormal="40" workbookViewId="0">
      <selection activeCell="Q8" sqref="Q8:S8"/>
    </sheetView>
  </sheetViews>
  <sheetFormatPr defaultColWidth="9" defaultRowHeight="15.6" x14ac:dyDescent="0.3"/>
  <cols>
    <col min="1" max="1" width="5.5546875" style="1" customWidth="1"/>
    <col min="2" max="2" width="18.21875" style="1" customWidth="1"/>
    <col min="3" max="8" width="14.77734375" style="1" customWidth="1"/>
    <col min="9" max="9" width="17.5546875" style="1" customWidth="1"/>
    <col min="10" max="10" width="20.88671875" style="1" customWidth="1"/>
    <col min="11" max="11" width="20.77734375" style="1" customWidth="1"/>
    <col min="12" max="12" width="15.21875" style="1" customWidth="1"/>
    <col min="13" max="13" width="17.77734375" style="1" customWidth="1"/>
    <col min="14" max="14" width="16.21875" style="1" customWidth="1"/>
    <col min="15" max="15" width="16" style="1" customWidth="1"/>
    <col min="16" max="16" width="18.6640625" style="1" customWidth="1"/>
    <col min="17" max="17" width="16.21875" style="1" customWidth="1"/>
    <col min="18" max="19" width="13.44140625" style="1" customWidth="1"/>
    <col min="20" max="16384" width="9" style="1"/>
  </cols>
  <sheetData>
    <row r="1" spans="1:19" ht="88.8" customHeight="1" x14ac:dyDescent="0.3">
      <c r="A1" s="297" t="s">
        <v>19</v>
      </c>
      <c r="B1" s="297"/>
      <c r="C1" s="297"/>
      <c r="D1" s="297"/>
      <c r="E1" s="297"/>
      <c r="F1" s="297"/>
      <c r="G1" s="297"/>
      <c r="H1" s="297"/>
      <c r="I1" s="297"/>
      <c r="J1" s="297"/>
      <c r="K1" s="297"/>
      <c r="L1" s="297"/>
      <c r="M1" s="297"/>
      <c r="N1" s="297"/>
      <c r="O1" s="297"/>
      <c r="P1" s="297"/>
      <c r="Q1" s="297"/>
      <c r="R1" s="297"/>
      <c r="S1" s="297"/>
    </row>
    <row r="2" spans="1:19" ht="60" customHeight="1" x14ac:dyDescent="0.3">
      <c r="A2" s="298" t="s">
        <v>20</v>
      </c>
      <c r="B2" s="298"/>
      <c r="C2" s="298"/>
      <c r="D2" s="298" t="str">
        <f>'MILScientific Injection Molding'!B4</f>
        <v>`018999001</v>
      </c>
      <c r="E2" s="298"/>
      <c r="F2" s="298"/>
      <c r="G2" s="298" t="s">
        <v>21</v>
      </c>
      <c r="H2" s="298"/>
      <c r="I2" s="298"/>
      <c r="J2" s="298"/>
      <c r="K2" s="298"/>
      <c r="L2" s="298"/>
      <c r="M2" s="2" t="s">
        <v>22</v>
      </c>
      <c r="N2" s="298"/>
      <c r="O2" s="298"/>
      <c r="P2" s="298"/>
      <c r="Q2" s="3" t="s">
        <v>23</v>
      </c>
      <c r="R2" s="299" t="s">
        <v>24</v>
      </c>
      <c r="S2" s="299"/>
    </row>
    <row r="3" spans="1:19" ht="60" customHeight="1" x14ac:dyDescent="0.3">
      <c r="A3" s="307" t="s">
        <v>25</v>
      </c>
      <c r="B3" s="4" t="s">
        <v>26</v>
      </c>
      <c r="C3" s="300"/>
      <c r="D3" s="306"/>
      <c r="E3" s="306"/>
      <c r="F3" s="301"/>
      <c r="G3" s="4" t="s">
        <v>27</v>
      </c>
      <c r="H3" s="300"/>
      <c r="I3" s="306"/>
      <c r="J3" s="306"/>
      <c r="K3" s="306"/>
      <c r="L3" s="301"/>
      <c r="M3" s="4" t="s">
        <v>28</v>
      </c>
      <c r="N3" s="304" t="str">
        <f>'MILScientific Injection Molding'!B9</f>
        <v>TG3A0004695-01</v>
      </c>
      <c r="O3" s="304"/>
      <c r="P3" s="304"/>
      <c r="Q3" s="304"/>
      <c r="R3" s="304"/>
      <c r="S3" s="304"/>
    </row>
    <row r="4" spans="1:19" ht="63.6" customHeight="1" x14ac:dyDescent="0.3">
      <c r="A4" s="307"/>
      <c r="B4" s="4" t="s">
        <v>29</v>
      </c>
      <c r="C4" s="300" t="str">
        <f>'MILScientific Injection Molding'!B19</f>
        <v>海天</v>
      </c>
      <c r="D4" s="301"/>
      <c r="E4" s="4" t="s">
        <v>30</v>
      </c>
      <c r="F4" s="5" t="str">
        <f>'MILScientific Injection Molding'!C19</f>
        <v>油压机</v>
      </c>
      <c r="G4" s="4" t="s">
        <v>31</v>
      </c>
      <c r="H4" s="5">
        <f>'MILScientific Injection Molding'!D19</f>
        <v>280</v>
      </c>
      <c r="I4" s="302" t="s">
        <v>32</v>
      </c>
      <c r="J4" s="303"/>
      <c r="K4" s="308">
        <f>'MILScientific Injection Molding'!E19</f>
        <v>60</v>
      </c>
      <c r="L4" s="308"/>
      <c r="M4" s="6" t="s">
        <v>33</v>
      </c>
      <c r="N4" s="7">
        <f>'MILScientific Injection Molding'!F19</f>
        <v>165</v>
      </c>
      <c r="O4" s="7" t="s">
        <v>4</v>
      </c>
      <c r="P4" s="8" t="s">
        <v>34</v>
      </c>
      <c r="Q4" s="309" t="s">
        <v>35</v>
      </c>
      <c r="R4" s="309">
        <f>'MILScientific Injection Molding'!I19</f>
        <v>200</v>
      </c>
      <c r="S4" s="311" t="s">
        <v>36</v>
      </c>
    </row>
    <row r="5" spans="1:19" ht="63.6" customHeight="1" x14ac:dyDescent="0.3">
      <c r="A5" s="307"/>
      <c r="B5" s="4" t="s">
        <v>37</v>
      </c>
      <c r="C5" s="300" t="str">
        <f>'MILScientific Injection Molding'!B13</f>
        <v>PA6+30GF%KA501</v>
      </c>
      <c r="D5" s="301"/>
      <c r="E5" s="4" t="s">
        <v>38</v>
      </c>
      <c r="F5" s="80" t="str">
        <f>'MILScientific Injection Molding'!F13</f>
        <v>RED</v>
      </c>
      <c r="G5" s="71" t="s">
        <v>39</v>
      </c>
      <c r="H5" s="71"/>
      <c r="I5" s="9" t="s">
        <v>40</v>
      </c>
      <c r="J5" s="72"/>
      <c r="K5" s="4" t="s">
        <v>41</v>
      </c>
      <c r="L5" s="73"/>
      <c r="M5" s="6" t="s">
        <v>42</v>
      </c>
      <c r="N5" s="7">
        <f>'MILScientific Injection Molding'!G19</f>
        <v>165</v>
      </c>
      <c r="O5" s="7" t="s">
        <v>43</v>
      </c>
      <c r="P5" s="10">
        <f>N4*10/N5</f>
        <v>10</v>
      </c>
      <c r="Q5" s="310"/>
      <c r="R5" s="310"/>
      <c r="S5" s="312"/>
    </row>
    <row r="6" spans="1:19" ht="60" customHeight="1" x14ac:dyDescent="0.3">
      <c r="A6" s="307"/>
      <c r="B6" s="302" t="s">
        <v>44</v>
      </c>
      <c r="C6" s="303"/>
      <c r="D6" s="304"/>
      <c r="E6" s="304"/>
      <c r="F6" s="304"/>
      <c r="G6" s="4" t="s">
        <v>45</v>
      </c>
      <c r="H6" s="4" t="str">
        <f>'MILScientific Injection Molding'!H9</f>
        <v>1+1</v>
      </c>
      <c r="I6" s="4" t="s">
        <v>46</v>
      </c>
      <c r="J6" s="4"/>
      <c r="K6" s="4" t="s">
        <v>47</v>
      </c>
      <c r="L6" s="11"/>
      <c r="M6" s="4" t="s">
        <v>48</v>
      </c>
      <c r="N6" s="74"/>
      <c r="O6" s="4" t="s">
        <v>49</v>
      </c>
      <c r="P6" s="4"/>
      <c r="Q6" s="305" t="s">
        <v>216</v>
      </c>
      <c r="R6" s="75"/>
      <c r="S6" s="75" t="s">
        <v>43</v>
      </c>
    </row>
    <row r="7" spans="1:19" ht="60" customHeight="1" x14ac:dyDescent="0.3">
      <c r="A7" s="307"/>
      <c r="B7" s="300" t="s">
        <v>50</v>
      </c>
      <c r="C7" s="301"/>
      <c r="D7" s="300"/>
      <c r="E7" s="306"/>
      <c r="F7" s="306"/>
      <c r="G7" s="306"/>
      <c r="H7" s="306"/>
      <c r="I7" s="306"/>
      <c r="J7" s="306"/>
      <c r="K7" s="306"/>
      <c r="L7" s="306"/>
      <c r="M7" s="306"/>
      <c r="N7" s="306"/>
      <c r="O7" s="306"/>
      <c r="P7" s="301"/>
      <c r="Q7" s="305"/>
      <c r="R7" s="75"/>
      <c r="S7" s="75" t="s">
        <v>217</v>
      </c>
    </row>
    <row r="8" spans="1:19" ht="60" customHeight="1" x14ac:dyDescent="0.3">
      <c r="A8" s="360" t="s">
        <v>51</v>
      </c>
      <c r="B8" s="300" t="s">
        <v>52</v>
      </c>
      <c r="C8" s="301"/>
      <c r="D8" s="4" t="s">
        <v>53</v>
      </c>
      <c r="E8" s="313">
        <f>'温度设置 Set Temp'!I6</f>
        <v>255</v>
      </c>
      <c r="F8" s="313"/>
      <c r="G8" s="4" t="s">
        <v>54</v>
      </c>
      <c r="H8" s="313">
        <f>'温度设置 Set Temp'!K6</f>
        <v>265</v>
      </c>
      <c r="I8" s="313" t="s">
        <v>55</v>
      </c>
      <c r="J8" s="4" t="s">
        <v>56</v>
      </c>
      <c r="K8" s="313">
        <f>'温度设置 Set Temp'!M6</f>
        <v>265</v>
      </c>
      <c r="L8" s="313" t="s">
        <v>55</v>
      </c>
      <c r="M8" s="4" t="s">
        <v>57</v>
      </c>
      <c r="N8" s="313">
        <f>'温度设置 Set Temp'!N6</f>
        <v>261</v>
      </c>
      <c r="O8" s="313"/>
      <c r="P8" s="4" t="s">
        <v>58</v>
      </c>
      <c r="Q8" s="313">
        <f>'温度设置 Set Temp'!O6</f>
        <v>255</v>
      </c>
      <c r="R8" s="313"/>
      <c r="S8" s="313"/>
    </row>
    <row r="9" spans="1:19" ht="53.4" customHeight="1" x14ac:dyDescent="0.3">
      <c r="A9" s="360"/>
      <c r="B9" s="314" t="s">
        <v>59</v>
      </c>
      <c r="C9" s="315"/>
      <c r="D9" s="12" t="s">
        <v>60</v>
      </c>
      <c r="E9" s="12" t="s">
        <v>61</v>
      </c>
      <c r="F9" s="12" t="s">
        <v>62</v>
      </c>
      <c r="G9" s="12" t="s">
        <v>63</v>
      </c>
      <c r="H9" s="12" t="s">
        <v>64</v>
      </c>
      <c r="I9" s="13" t="s">
        <v>65</v>
      </c>
      <c r="J9" s="14" t="s">
        <v>66</v>
      </c>
      <c r="K9" s="316" t="s">
        <v>67</v>
      </c>
      <c r="L9" s="317"/>
      <c r="M9" s="15" t="s">
        <v>60</v>
      </c>
      <c r="N9" s="15" t="s">
        <v>61</v>
      </c>
      <c r="O9" s="15" t="s">
        <v>62</v>
      </c>
      <c r="P9" s="15" t="s">
        <v>63</v>
      </c>
      <c r="Q9" s="15" t="s">
        <v>64</v>
      </c>
      <c r="R9" s="316" t="s">
        <v>68</v>
      </c>
      <c r="S9" s="318"/>
    </row>
    <row r="10" spans="1:19" ht="53.4" customHeight="1" x14ac:dyDescent="0.3">
      <c r="A10" s="360"/>
      <c r="B10" s="319" t="s">
        <v>69</v>
      </c>
      <c r="C10" s="16" t="s">
        <v>43</v>
      </c>
      <c r="D10" s="17"/>
      <c r="E10" s="17"/>
      <c r="F10" s="17"/>
      <c r="G10" s="17"/>
      <c r="H10" s="17"/>
      <c r="I10" s="319"/>
      <c r="J10" s="322"/>
      <c r="K10" s="324" t="s">
        <v>70</v>
      </c>
      <c r="L10" s="18" t="s">
        <v>43</v>
      </c>
      <c r="M10" s="19">
        <v>40</v>
      </c>
      <c r="N10" s="19">
        <v>70</v>
      </c>
      <c r="O10" s="19"/>
      <c r="P10" s="19"/>
      <c r="Q10" s="19"/>
      <c r="R10" s="326">
        <f>L14+M14+N14+O14+P14+Q14</f>
        <v>10</v>
      </c>
      <c r="S10" s="327"/>
    </row>
    <row r="11" spans="1:19" ht="53.4" customHeight="1" x14ac:dyDescent="0.3">
      <c r="A11" s="360"/>
      <c r="B11" s="320"/>
      <c r="C11" s="16" t="s">
        <v>4</v>
      </c>
      <c r="D11" s="17"/>
      <c r="E11" s="17"/>
      <c r="F11" s="17"/>
      <c r="G11" s="17"/>
      <c r="H11" s="17"/>
      <c r="I11" s="321"/>
      <c r="J11" s="323"/>
      <c r="K11" s="325"/>
      <c r="L11" s="18" t="s">
        <v>4</v>
      </c>
      <c r="M11" s="19"/>
      <c r="N11" s="19"/>
      <c r="O11" s="19"/>
      <c r="P11" s="19"/>
      <c r="Q11" s="19"/>
      <c r="R11" s="328"/>
      <c r="S11" s="329"/>
    </row>
    <row r="12" spans="1:19" ht="53.4" customHeight="1" x14ac:dyDescent="0.3">
      <c r="A12" s="360"/>
      <c r="B12" s="319" t="s">
        <v>71</v>
      </c>
      <c r="C12" s="16" t="s">
        <v>72</v>
      </c>
      <c r="D12" s="17"/>
      <c r="E12" s="77"/>
      <c r="F12" s="77"/>
      <c r="G12" s="17"/>
      <c r="H12" s="17"/>
      <c r="I12" s="321"/>
      <c r="J12" s="14" t="s">
        <v>73</v>
      </c>
      <c r="K12" s="324" t="s">
        <v>74</v>
      </c>
      <c r="L12" s="18" t="s">
        <v>72</v>
      </c>
      <c r="M12" s="19">
        <v>3</v>
      </c>
      <c r="N12" s="19">
        <v>4</v>
      </c>
      <c r="O12" s="19"/>
      <c r="P12" s="19"/>
      <c r="Q12" s="19"/>
      <c r="R12" s="328"/>
      <c r="S12" s="329"/>
    </row>
    <row r="13" spans="1:19" ht="53.4" customHeight="1" x14ac:dyDescent="0.3">
      <c r="A13" s="360"/>
      <c r="B13" s="320"/>
      <c r="C13" s="16" t="s">
        <v>75</v>
      </c>
      <c r="D13" s="17"/>
      <c r="E13" s="17"/>
      <c r="F13" s="17"/>
      <c r="G13" s="17"/>
      <c r="H13" s="17"/>
      <c r="I13" s="321"/>
      <c r="J13" s="332"/>
      <c r="K13" s="325"/>
      <c r="L13" s="18" t="s">
        <v>75</v>
      </c>
      <c r="M13" s="19"/>
      <c r="N13" s="19"/>
      <c r="O13" s="19"/>
      <c r="P13" s="19"/>
      <c r="Q13" s="19"/>
      <c r="R13" s="328"/>
      <c r="S13" s="329"/>
    </row>
    <row r="14" spans="1:19" ht="53.4" customHeight="1" x14ac:dyDescent="0.3">
      <c r="A14" s="360"/>
      <c r="B14" s="314" t="s">
        <v>76</v>
      </c>
      <c r="C14" s="315"/>
      <c r="D14" s="16"/>
      <c r="E14" s="20"/>
      <c r="F14" s="20"/>
      <c r="G14" s="16"/>
      <c r="H14" s="20"/>
      <c r="I14" s="320"/>
      <c r="J14" s="323"/>
      <c r="K14" s="70" t="s">
        <v>77</v>
      </c>
      <c r="L14" s="19"/>
      <c r="M14" s="19">
        <v>1</v>
      </c>
      <c r="N14" s="19">
        <v>9</v>
      </c>
      <c r="O14" s="19"/>
      <c r="P14" s="19"/>
      <c r="Q14" s="19"/>
      <c r="R14" s="330"/>
      <c r="S14" s="331"/>
    </row>
    <row r="15" spans="1:19" ht="53.4" customHeight="1" x14ac:dyDescent="0.3">
      <c r="A15" s="360"/>
      <c r="B15" s="309" t="s">
        <v>78</v>
      </c>
      <c r="C15" s="7" t="s">
        <v>79</v>
      </c>
      <c r="D15" s="21"/>
      <c r="E15" s="338" t="s">
        <v>80</v>
      </c>
      <c r="F15" s="7" t="s">
        <v>72</v>
      </c>
      <c r="G15" s="7"/>
      <c r="H15" s="338" t="s">
        <v>81</v>
      </c>
      <c r="I15" s="7" t="s">
        <v>43</v>
      </c>
      <c r="J15" s="21"/>
      <c r="K15" s="338" t="s">
        <v>82</v>
      </c>
      <c r="L15" s="338">
        <v>150</v>
      </c>
      <c r="M15" s="309" t="s">
        <v>0</v>
      </c>
      <c r="N15" s="338" t="s">
        <v>83</v>
      </c>
      <c r="O15" s="338"/>
      <c r="P15" s="309" t="s">
        <v>0</v>
      </c>
      <c r="Q15" s="338" t="s">
        <v>84</v>
      </c>
      <c r="R15" s="309"/>
      <c r="S15" s="338" t="s">
        <v>0</v>
      </c>
    </row>
    <row r="16" spans="1:19" ht="53.4" customHeight="1" x14ac:dyDescent="0.3">
      <c r="A16" s="360"/>
      <c r="B16" s="310"/>
      <c r="C16" s="7" t="s">
        <v>4</v>
      </c>
      <c r="D16" s="21"/>
      <c r="E16" s="338"/>
      <c r="F16" s="7" t="s">
        <v>75</v>
      </c>
      <c r="G16" s="7"/>
      <c r="H16" s="338"/>
      <c r="I16" s="7" t="s">
        <v>4</v>
      </c>
      <c r="J16" s="21"/>
      <c r="K16" s="338"/>
      <c r="L16" s="338"/>
      <c r="M16" s="310"/>
      <c r="N16" s="338"/>
      <c r="O16" s="338"/>
      <c r="P16" s="310"/>
      <c r="Q16" s="338"/>
      <c r="R16" s="310"/>
      <c r="S16" s="338"/>
    </row>
    <row r="17" spans="1:20" ht="53.4" customHeight="1" x14ac:dyDescent="0.3">
      <c r="A17" s="360"/>
      <c r="B17" s="333" t="s">
        <v>85</v>
      </c>
      <c r="C17" s="333" t="s">
        <v>86</v>
      </c>
      <c r="D17" s="333"/>
      <c r="E17" s="22" t="s">
        <v>55</v>
      </c>
      <c r="F17" s="334" t="s">
        <v>87</v>
      </c>
      <c r="G17" s="334"/>
      <c r="H17" s="334"/>
      <c r="I17" s="334"/>
      <c r="J17" s="22" t="s">
        <v>55</v>
      </c>
      <c r="K17" s="335">
        <v>140</v>
      </c>
      <c r="L17" s="336"/>
      <c r="M17" s="336"/>
      <c r="N17" s="337"/>
      <c r="O17" s="22" t="s">
        <v>55</v>
      </c>
      <c r="P17" s="333"/>
      <c r="Q17" s="333"/>
      <c r="R17" s="333"/>
      <c r="S17" s="333"/>
    </row>
    <row r="18" spans="1:20" ht="53.4" customHeight="1" x14ac:dyDescent="0.3">
      <c r="A18" s="360"/>
      <c r="B18" s="333"/>
      <c r="C18" s="333"/>
      <c r="D18" s="333"/>
      <c r="E18" s="22" t="s">
        <v>55</v>
      </c>
      <c r="F18" s="333"/>
      <c r="G18" s="333"/>
      <c r="H18" s="333"/>
      <c r="I18" s="333"/>
      <c r="J18" s="22" t="s">
        <v>55</v>
      </c>
      <c r="K18" s="333"/>
      <c r="L18" s="333"/>
      <c r="M18" s="333"/>
      <c r="N18" s="333"/>
      <c r="O18" s="22" t="s">
        <v>55</v>
      </c>
      <c r="P18" s="333"/>
      <c r="Q18" s="333"/>
      <c r="R18" s="333"/>
      <c r="S18" s="333"/>
    </row>
    <row r="19" spans="1:20" ht="53.4" customHeight="1" x14ac:dyDescent="0.3">
      <c r="A19" s="360"/>
      <c r="B19" s="333"/>
      <c r="C19" s="333"/>
      <c r="D19" s="333"/>
      <c r="E19" s="22" t="s">
        <v>55</v>
      </c>
      <c r="F19" s="333"/>
      <c r="G19" s="333"/>
      <c r="H19" s="333"/>
      <c r="I19" s="333"/>
      <c r="J19" s="22" t="s">
        <v>55</v>
      </c>
      <c r="K19" s="333"/>
      <c r="L19" s="333"/>
      <c r="M19" s="333"/>
      <c r="N19" s="333"/>
      <c r="O19" s="22" t="s">
        <v>55</v>
      </c>
      <c r="P19" s="333"/>
      <c r="Q19" s="333"/>
      <c r="R19" s="333"/>
      <c r="S19" s="333"/>
    </row>
    <row r="20" spans="1:20" ht="53.4" customHeight="1" x14ac:dyDescent="0.3">
      <c r="A20" s="360"/>
      <c r="B20" s="333"/>
      <c r="C20" s="339" t="s">
        <v>88</v>
      </c>
      <c r="D20" s="340"/>
      <c r="E20" s="22" t="s">
        <v>55</v>
      </c>
      <c r="F20" s="333"/>
      <c r="G20" s="333"/>
      <c r="H20" s="333"/>
      <c r="I20" s="333"/>
      <c r="J20" s="22" t="s">
        <v>55</v>
      </c>
      <c r="K20" s="333"/>
      <c r="L20" s="333"/>
      <c r="M20" s="333"/>
      <c r="N20" s="333"/>
      <c r="O20" s="22" t="s">
        <v>55</v>
      </c>
      <c r="P20" s="333"/>
      <c r="Q20" s="333"/>
      <c r="R20" s="333"/>
      <c r="S20" s="333"/>
    </row>
    <row r="21" spans="1:20" ht="53.4" customHeight="1" x14ac:dyDescent="0.3">
      <c r="A21" s="360"/>
      <c r="B21" s="333"/>
      <c r="C21" s="341"/>
      <c r="D21" s="342"/>
      <c r="E21" s="22" t="s">
        <v>55</v>
      </c>
      <c r="F21" s="333"/>
      <c r="G21" s="333"/>
      <c r="H21" s="333"/>
      <c r="I21" s="333"/>
      <c r="J21" s="22" t="s">
        <v>55</v>
      </c>
      <c r="K21" s="333"/>
      <c r="L21" s="333"/>
      <c r="M21" s="333"/>
      <c r="N21" s="333"/>
      <c r="O21" s="22" t="s">
        <v>55</v>
      </c>
      <c r="P21" s="333"/>
      <c r="Q21" s="333"/>
      <c r="R21" s="333"/>
      <c r="S21" s="333"/>
    </row>
    <row r="22" spans="1:20" ht="53.4" customHeight="1" x14ac:dyDescent="0.3">
      <c r="A22" s="360"/>
      <c r="B22" s="333"/>
      <c r="C22" s="343"/>
      <c r="D22" s="344"/>
      <c r="E22" s="22" t="s">
        <v>55</v>
      </c>
      <c r="F22" s="333"/>
      <c r="G22" s="333"/>
      <c r="H22" s="333"/>
      <c r="I22" s="333"/>
      <c r="J22" s="22" t="s">
        <v>55</v>
      </c>
      <c r="K22" s="333"/>
      <c r="L22" s="333"/>
      <c r="M22" s="333"/>
      <c r="N22" s="333"/>
      <c r="O22" s="22" t="s">
        <v>55</v>
      </c>
      <c r="P22" s="333"/>
      <c r="Q22" s="333"/>
      <c r="R22" s="333"/>
      <c r="S22" s="333"/>
    </row>
    <row r="23" spans="1:20" ht="48" customHeight="1" x14ac:dyDescent="0.3">
      <c r="A23" s="360"/>
      <c r="B23" s="355" t="s">
        <v>89</v>
      </c>
      <c r="C23" s="23" t="s">
        <v>90</v>
      </c>
      <c r="D23" s="23" t="s">
        <v>91</v>
      </c>
      <c r="E23" s="357" t="s">
        <v>92</v>
      </c>
      <c r="F23" s="23" t="s">
        <v>90</v>
      </c>
      <c r="G23" s="23" t="s">
        <v>91</v>
      </c>
      <c r="H23" s="357" t="s">
        <v>93</v>
      </c>
      <c r="I23" s="23" t="s">
        <v>90</v>
      </c>
      <c r="J23" s="23" t="s">
        <v>91</v>
      </c>
      <c r="K23" s="304" t="s">
        <v>94</v>
      </c>
      <c r="L23" s="23" t="s">
        <v>90</v>
      </c>
      <c r="M23" s="23" t="s">
        <v>91</v>
      </c>
      <c r="N23" s="345" t="s">
        <v>95</v>
      </c>
      <c r="O23" s="347"/>
      <c r="P23" s="348"/>
      <c r="Q23" s="345" t="s">
        <v>96</v>
      </c>
      <c r="R23" s="347"/>
      <c r="S23" s="348"/>
    </row>
    <row r="24" spans="1:20" ht="48" customHeight="1" x14ac:dyDescent="0.3">
      <c r="A24" s="360"/>
      <c r="B24" s="356"/>
      <c r="C24" s="76"/>
      <c r="D24" s="76"/>
      <c r="E24" s="357"/>
      <c r="F24" s="76"/>
      <c r="G24" s="24"/>
      <c r="H24" s="357"/>
      <c r="I24" s="76"/>
      <c r="J24" s="76"/>
      <c r="K24" s="304"/>
      <c r="L24" s="76"/>
      <c r="M24" s="76"/>
      <c r="N24" s="346"/>
      <c r="O24" s="349"/>
      <c r="P24" s="350"/>
      <c r="Q24" s="346"/>
      <c r="R24" s="349"/>
      <c r="S24" s="350"/>
      <c r="T24" s="1" t="s">
        <v>97</v>
      </c>
    </row>
    <row r="25" spans="1:20" ht="60" customHeight="1" x14ac:dyDescent="0.3">
      <c r="A25" s="360"/>
      <c r="B25" s="351" t="s">
        <v>98</v>
      </c>
      <c r="C25" s="352"/>
      <c r="D25" s="304" t="s">
        <v>99</v>
      </c>
      <c r="E25" s="304"/>
      <c r="F25" s="304" t="s">
        <v>100</v>
      </c>
      <c r="G25" s="304"/>
      <c r="H25" s="304" t="s">
        <v>101</v>
      </c>
      <c r="I25" s="304"/>
      <c r="J25" s="304" t="s">
        <v>102</v>
      </c>
      <c r="K25" s="304"/>
      <c r="L25" s="304" t="s">
        <v>103</v>
      </c>
      <c r="M25" s="304"/>
      <c r="N25" s="304" t="s">
        <v>104</v>
      </c>
      <c r="O25" s="304"/>
      <c r="P25" s="304" t="s">
        <v>105</v>
      </c>
      <c r="Q25" s="304"/>
      <c r="R25" s="304" t="s">
        <v>106</v>
      </c>
      <c r="S25" s="304"/>
    </row>
    <row r="26" spans="1:20" ht="60" customHeight="1" x14ac:dyDescent="0.3">
      <c r="A26" s="360"/>
      <c r="B26" s="353"/>
      <c r="C26" s="354"/>
      <c r="D26" s="304"/>
      <c r="E26" s="304"/>
      <c r="F26" s="304"/>
      <c r="G26" s="304"/>
      <c r="H26" s="304"/>
      <c r="I26" s="304"/>
      <c r="J26" s="304"/>
      <c r="K26" s="304"/>
      <c r="L26" s="304"/>
      <c r="M26" s="304"/>
      <c r="N26" s="304"/>
      <c r="O26" s="304"/>
      <c r="P26" s="304"/>
      <c r="Q26" s="304"/>
      <c r="R26" s="304"/>
      <c r="S26" s="304"/>
    </row>
    <row r="27" spans="1:20" ht="60" customHeight="1" x14ac:dyDescent="0.3">
      <c r="A27" s="360"/>
      <c r="B27" s="351" t="s">
        <v>107</v>
      </c>
      <c r="C27" s="352"/>
      <c r="D27" s="4" t="s">
        <v>108</v>
      </c>
      <c r="E27" s="4" t="s">
        <v>109</v>
      </c>
      <c r="F27" s="4" t="s">
        <v>108</v>
      </c>
      <c r="G27" s="4" t="s">
        <v>109</v>
      </c>
      <c r="H27" s="4" t="s">
        <v>108</v>
      </c>
      <c r="I27" s="4" t="s">
        <v>109</v>
      </c>
      <c r="J27" s="4" t="s">
        <v>108</v>
      </c>
      <c r="K27" s="4" t="s">
        <v>109</v>
      </c>
      <c r="L27" s="4" t="s">
        <v>108</v>
      </c>
      <c r="M27" s="4" t="s">
        <v>109</v>
      </c>
      <c r="N27" s="4" t="s">
        <v>108</v>
      </c>
      <c r="O27" s="4" t="s">
        <v>109</v>
      </c>
      <c r="P27" s="4" t="s">
        <v>108</v>
      </c>
      <c r="Q27" s="4" t="s">
        <v>109</v>
      </c>
      <c r="R27" s="4" t="s">
        <v>108</v>
      </c>
      <c r="S27" s="4" t="s">
        <v>109</v>
      </c>
    </row>
    <row r="28" spans="1:20" ht="60" customHeight="1" x14ac:dyDescent="0.3">
      <c r="A28" s="360"/>
      <c r="B28" s="353"/>
      <c r="C28" s="354"/>
      <c r="D28" s="4"/>
      <c r="E28" s="4"/>
      <c r="F28" s="4"/>
      <c r="G28" s="4"/>
      <c r="H28" s="4"/>
      <c r="I28" s="4"/>
      <c r="J28" s="4"/>
      <c r="K28" s="4"/>
      <c r="L28" s="4"/>
      <c r="M28" s="4"/>
      <c r="N28" s="4"/>
      <c r="O28" s="4"/>
      <c r="P28" s="4"/>
      <c r="Q28" s="4"/>
      <c r="R28" s="4"/>
      <c r="S28" s="4"/>
    </row>
    <row r="29" spans="1:20" ht="60" customHeight="1" x14ac:dyDescent="0.3">
      <c r="A29" s="360"/>
      <c r="B29" s="300" t="s">
        <v>110</v>
      </c>
      <c r="C29" s="301"/>
      <c r="D29" s="4" t="s">
        <v>111</v>
      </c>
      <c r="E29" s="4"/>
      <c r="F29" s="4" t="s">
        <v>112</v>
      </c>
      <c r="G29" s="4"/>
      <c r="H29" s="4" t="s">
        <v>113</v>
      </c>
      <c r="I29" s="4"/>
      <c r="J29" s="4"/>
      <c r="K29" s="4" t="s">
        <v>114</v>
      </c>
      <c r="L29" s="300"/>
      <c r="M29" s="301"/>
      <c r="N29" s="4" t="s">
        <v>115</v>
      </c>
      <c r="O29" s="300"/>
      <c r="P29" s="306"/>
      <c r="Q29" s="306"/>
      <c r="R29" s="306"/>
      <c r="S29" s="301"/>
    </row>
    <row r="30" spans="1:20" ht="60" customHeight="1" x14ac:dyDescent="0.3">
      <c r="A30" s="358" t="s">
        <v>116</v>
      </c>
      <c r="B30" s="300" t="s">
        <v>117</v>
      </c>
      <c r="C30" s="301"/>
      <c r="D30" s="300"/>
      <c r="E30" s="306"/>
      <c r="F30" s="306"/>
      <c r="G30" s="301"/>
      <c r="H30" s="4" t="s">
        <v>118</v>
      </c>
      <c r="I30" s="302"/>
      <c r="J30" s="303"/>
      <c r="K30" s="359"/>
      <c r="L30" s="4" t="s">
        <v>119</v>
      </c>
      <c r="M30" s="302"/>
      <c r="N30" s="303"/>
      <c r="O30" s="359"/>
      <c r="P30" s="4" t="s">
        <v>120</v>
      </c>
      <c r="Q30" s="300"/>
      <c r="R30" s="306"/>
      <c r="S30" s="301"/>
    </row>
    <row r="31" spans="1:20" ht="60" customHeight="1" x14ac:dyDescent="0.3">
      <c r="A31" s="358"/>
      <c r="B31" s="351" t="s">
        <v>121</v>
      </c>
      <c r="C31" s="352"/>
      <c r="D31" s="4" t="s">
        <v>122</v>
      </c>
      <c r="E31" s="300"/>
      <c r="F31" s="306"/>
      <c r="G31" s="301"/>
      <c r="H31" s="4" t="s">
        <v>123</v>
      </c>
      <c r="I31" s="302"/>
      <c r="J31" s="303"/>
      <c r="K31" s="359"/>
      <c r="L31" s="4" t="s">
        <v>124</v>
      </c>
      <c r="M31" s="302"/>
      <c r="N31" s="303"/>
      <c r="O31" s="359"/>
      <c r="P31" s="4" t="s">
        <v>125</v>
      </c>
      <c r="Q31" s="300"/>
      <c r="R31" s="306"/>
      <c r="S31" s="301"/>
    </row>
    <row r="32" spans="1:20" ht="60" customHeight="1" x14ac:dyDescent="0.3">
      <c r="A32" s="358"/>
      <c r="B32" s="361"/>
      <c r="C32" s="362"/>
      <c r="D32" s="4" t="s">
        <v>126</v>
      </c>
      <c r="E32" s="300"/>
      <c r="F32" s="306"/>
      <c r="G32" s="301"/>
      <c r="H32" s="4" t="s">
        <v>127</v>
      </c>
      <c r="I32" s="302"/>
      <c r="J32" s="303"/>
      <c r="K32" s="359"/>
      <c r="L32" s="4" t="s">
        <v>128</v>
      </c>
      <c r="M32" s="302"/>
      <c r="N32" s="303"/>
      <c r="O32" s="359"/>
      <c r="P32" s="4" t="s">
        <v>129</v>
      </c>
      <c r="Q32" s="300"/>
      <c r="R32" s="306"/>
      <c r="S32" s="301"/>
    </row>
    <row r="33" spans="1:19" ht="60" customHeight="1" x14ac:dyDescent="0.3">
      <c r="A33" s="358"/>
      <c r="B33" s="361"/>
      <c r="C33" s="362"/>
      <c r="D33" s="4" t="s">
        <v>130</v>
      </c>
      <c r="E33" s="300"/>
      <c r="F33" s="306"/>
      <c r="G33" s="301"/>
      <c r="H33" s="4" t="s">
        <v>131</v>
      </c>
      <c r="I33" s="302"/>
      <c r="J33" s="303"/>
      <c r="K33" s="359"/>
      <c r="L33" s="4" t="s">
        <v>132</v>
      </c>
      <c r="M33" s="302"/>
      <c r="N33" s="303"/>
      <c r="O33" s="359"/>
      <c r="P33" s="4" t="s">
        <v>133</v>
      </c>
      <c r="Q33" s="300"/>
      <c r="R33" s="306"/>
      <c r="S33" s="301"/>
    </row>
    <row r="34" spans="1:19" ht="60" customHeight="1" x14ac:dyDescent="0.3">
      <c r="A34" s="358"/>
      <c r="B34" s="361"/>
      <c r="C34" s="362"/>
      <c r="D34" s="4" t="s">
        <v>134</v>
      </c>
      <c r="E34" s="300"/>
      <c r="F34" s="306"/>
      <c r="G34" s="301"/>
      <c r="H34" s="4" t="s">
        <v>135</v>
      </c>
      <c r="I34" s="302"/>
      <c r="J34" s="303"/>
      <c r="K34" s="359"/>
      <c r="L34" s="4" t="s">
        <v>136</v>
      </c>
      <c r="M34" s="302"/>
      <c r="N34" s="303"/>
      <c r="O34" s="359"/>
      <c r="P34" s="4" t="s">
        <v>137</v>
      </c>
      <c r="Q34" s="300"/>
      <c r="R34" s="306"/>
      <c r="S34" s="301"/>
    </row>
    <row r="35" spans="1:19" ht="60" customHeight="1" x14ac:dyDescent="0.3">
      <c r="A35" s="358"/>
      <c r="B35" s="353"/>
      <c r="C35" s="354"/>
      <c r="D35" s="4" t="s">
        <v>138</v>
      </c>
      <c r="E35" s="300"/>
      <c r="F35" s="306"/>
      <c r="G35" s="301"/>
      <c r="H35" s="4" t="s">
        <v>139</v>
      </c>
      <c r="I35" s="302"/>
      <c r="J35" s="303"/>
      <c r="K35" s="359"/>
      <c r="L35" s="4" t="s">
        <v>140</v>
      </c>
      <c r="M35" s="302"/>
      <c r="N35" s="303"/>
      <c r="O35" s="359"/>
      <c r="P35" s="4" t="s">
        <v>141</v>
      </c>
      <c r="Q35" s="300"/>
      <c r="R35" s="306"/>
      <c r="S35" s="301"/>
    </row>
    <row r="36" spans="1:19" ht="78.599999999999994" customHeight="1" x14ac:dyDescent="0.3">
      <c r="A36" s="358"/>
      <c r="B36" s="300" t="s">
        <v>218</v>
      </c>
      <c r="C36" s="301"/>
      <c r="D36" s="4" t="s">
        <v>142</v>
      </c>
      <c r="E36" s="300"/>
      <c r="F36" s="306"/>
      <c r="G36" s="301"/>
      <c r="H36" s="4" t="s">
        <v>219</v>
      </c>
      <c r="I36" s="302"/>
      <c r="J36" s="303"/>
      <c r="K36" s="359"/>
      <c r="L36" s="4" t="s">
        <v>143</v>
      </c>
      <c r="M36" s="302"/>
      <c r="N36" s="303"/>
      <c r="O36" s="359"/>
      <c r="P36" s="4" t="s">
        <v>144</v>
      </c>
      <c r="Q36" s="300"/>
      <c r="R36" s="306"/>
      <c r="S36" s="301"/>
    </row>
    <row r="37" spans="1:19" ht="60" customHeight="1" x14ac:dyDescent="0.3">
      <c r="A37" s="358"/>
      <c r="B37" s="300" t="s">
        <v>145</v>
      </c>
      <c r="C37" s="301"/>
      <c r="D37" s="300"/>
      <c r="E37" s="306"/>
      <c r="F37" s="306"/>
      <c r="G37" s="306"/>
      <c r="H37" s="306"/>
      <c r="I37" s="306"/>
      <c r="J37" s="306"/>
      <c r="K37" s="306"/>
      <c r="L37" s="306"/>
      <c r="M37" s="306"/>
      <c r="N37" s="306"/>
      <c r="O37" s="306"/>
      <c r="P37" s="306"/>
      <c r="Q37" s="306"/>
      <c r="R37" s="306"/>
      <c r="S37" s="301"/>
    </row>
    <row r="38" spans="1:19" ht="60" customHeight="1" x14ac:dyDescent="0.3">
      <c r="A38" s="364" t="s">
        <v>146</v>
      </c>
      <c r="B38" s="300" t="s">
        <v>147</v>
      </c>
      <c r="C38" s="301"/>
      <c r="D38" s="25" t="s">
        <v>148</v>
      </c>
      <c r="E38" s="300"/>
      <c r="F38" s="306"/>
      <c r="G38" s="306"/>
      <c r="H38" s="301"/>
      <c r="I38" s="365" t="s">
        <v>149</v>
      </c>
      <c r="J38" s="366"/>
      <c r="K38" s="300"/>
      <c r="L38" s="306"/>
      <c r="M38" s="306"/>
      <c r="N38" s="306"/>
      <c r="O38" s="306"/>
      <c r="P38" s="306"/>
      <c r="Q38" s="306"/>
      <c r="R38" s="306"/>
      <c r="S38" s="301"/>
    </row>
    <row r="39" spans="1:19" ht="60" customHeight="1" x14ac:dyDescent="0.3">
      <c r="A39" s="364"/>
      <c r="B39" s="300" t="s">
        <v>150</v>
      </c>
      <c r="C39" s="301"/>
      <c r="D39" s="25" t="s">
        <v>148</v>
      </c>
      <c r="E39" s="300"/>
      <c r="F39" s="306"/>
      <c r="G39" s="306"/>
      <c r="H39" s="301"/>
      <c r="I39" s="365" t="s">
        <v>149</v>
      </c>
      <c r="J39" s="366"/>
      <c r="K39" s="300"/>
      <c r="L39" s="306"/>
      <c r="M39" s="306"/>
      <c r="N39" s="306"/>
      <c r="O39" s="306"/>
      <c r="P39" s="306"/>
      <c r="Q39" s="306"/>
      <c r="R39" s="306"/>
      <c r="S39" s="301"/>
    </row>
    <row r="40" spans="1:19" ht="60" customHeight="1" x14ac:dyDescent="0.3">
      <c r="A40" s="364"/>
      <c r="B40" s="300" t="s">
        <v>151</v>
      </c>
      <c r="C40" s="301"/>
      <c r="D40" s="4"/>
      <c r="E40" s="300"/>
      <c r="F40" s="306"/>
      <c r="G40" s="306"/>
      <c r="H40" s="306"/>
      <c r="I40" s="363"/>
      <c r="J40" s="363"/>
      <c r="K40" s="301"/>
      <c r="L40" s="300" t="s">
        <v>152</v>
      </c>
      <c r="M40" s="301"/>
      <c r="N40" s="300"/>
      <c r="O40" s="301"/>
      <c r="P40" s="4" t="s">
        <v>153</v>
      </c>
      <c r="Q40" s="300"/>
      <c r="R40" s="306"/>
      <c r="S40" s="301"/>
    </row>
    <row r="41" spans="1:19" ht="60" customHeight="1" x14ac:dyDescent="0.3">
      <c r="A41" s="367" t="s">
        <v>154</v>
      </c>
      <c r="B41" s="368"/>
      <c r="C41" s="368"/>
      <c r="D41" s="368"/>
      <c r="E41" s="368"/>
      <c r="F41" s="368"/>
      <c r="G41" s="368"/>
      <c r="H41" s="368"/>
      <c r="I41" s="368"/>
      <c r="J41" s="368"/>
      <c r="K41" s="369"/>
      <c r="L41" s="300" t="s">
        <v>155</v>
      </c>
      <c r="M41" s="301"/>
      <c r="N41" s="300"/>
      <c r="O41" s="301"/>
      <c r="P41" s="4" t="s">
        <v>156</v>
      </c>
      <c r="Q41" s="376"/>
      <c r="R41" s="377"/>
      <c r="S41" s="378"/>
    </row>
    <row r="42" spans="1:19" ht="60" customHeight="1" x14ac:dyDescent="0.3">
      <c r="A42" s="370"/>
      <c r="B42" s="371"/>
      <c r="C42" s="371"/>
      <c r="D42" s="371"/>
      <c r="E42" s="371"/>
      <c r="F42" s="371"/>
      <c r="G42" s="371"/>
      <c r="H42" s="371"/>
      <c r="I42" s="371"/>
      <c r="J42" s="371"/>
      <c r="K42" s="372"/>
      <c r="L42" s="300" t="s">
        <v>157</v>
      </c>
      <c r="M42" s="306"/>
      <c r="N42" s="306"/>
      <c r="O42" s="301"/>
      <c r="P42" s="300" t="s">
        <v>158</v>
      </c>
      <c r="Q42" s="306"/>
      <c r="R42" s="306"/>
      <c r="S42" s="301"/>
    </row>
    <row r="43" spans="1:19" ht="60" customHeight="1" x14ac:dyDescent="0.3">
      <c r="A43" s="370"/>
      <c r="B43" s="371"/>
      <c r="C43" s="371"/>
      <c r="D43" s="371"/>
      <c r="E43" s="371"/>
      <c r="F43" s="371"/>
      <c r="G43" s="371"/>
      <c r="H43" s="371"/>
      <c r="I43" s="371"/>
      <c r="J43" s="371"/>
      <c r="K43" s="372"/>
      <c r="L43" s="26" t="s">
        <v>159</v>
      </c>
      <c r="M43" s="300"/>
      <c r="N43" s="306"/>
      <c r="O43" s="301"/>
      <c r="P43" s="26" t="s">
        <v>160</v>
      </c>
      <c r="Q43" s="300"/>
      <c r="R43" s="306"/>
      <c r="S43" s="301"/>
    </row>
    <row r="44" spans="1:19" ht="60" customHeight="1" x14ac:dyDescent="0.3">
      <c r="A44" s="373"/>
      <c r="B44" s="374"/>
      <c r="C44" s="374"/>
      <c r="D44" s="374"/>
      <c r="E44" s="374"/>
      <c r="F44" s="374"/>
      <c r="G44" s="374"/>
      <c r="H44" s="374"/>
      <c r="I44" s="374"/>
      <c r="J44" s="374"/>
      <c r="K44" s="375"/>
      <c r="L44" s="26" t="s">
        <v>161</v>
      </c>
      <c r="M44" s="300"/>
      <c r="N44" s="306"/>
      <c r="O44" s="301"/>
      <c r="P44" s="27" t="s">
        <v>161</v>
      </c>
      <c r="Q44" s="300"/>
      <c r="R44" s="306"/>
      <c r="S44" s="301"/>
    </row>
    <row r="45" spans="1:19" ht="25.5" customHeight="1" x14ac:dyDescent="0.3">
      <c r="A45" s="28" t="s">
        <v>162</v>
      </c>
      <c r="Q45" s="29" t="s">
        <v>163</v>
      </c>
      <c r="R45" s="29"/>
      <c r="S45" s="29"/>
    </row>
  </sheetData>
  <mergeCells count="162">
    <mergeCell ref="A38:A40"/>
    <mergeCell ref="B38:C38"/>
    <mergeCell ref="E38:H38"/>
    <mergeCell ref="I38:J38"/>
    <mergeCell ref="K38:S38"/>
    <mergeCell ref="B39:C39"/>
    <mergeCell ref="E39:H39"/>
    <mergeCell ref="I39:J39"/>
    <mergeCell ref="A41:K44"/>
    <mergeCell ref="L41:M41"/>
    <mergeCell ref="N41:O41"/>
    <mergeCell ref="Q41:S41"/>
    <mergeCell ref="L42:O42"/>
    <mergeCell ref="P42:S42"/>
    <mergeCell ref="M43:O43"/>
    <mergeCell ref="Q43:S43"/>
    <mergeCell ref="M44:O44"/>
    <mergeCell ref="Q44:S44"/>
    <mergeCell ref="B36:C36"/>
    <mergeCell ref="E36:G36"/>
    <mergeCell ref="I36:K36"/>
    <mergeCell ref="M36:O36"/>
    <mergeCell ref="Q36:S36"/>
    <mergeCell ref="K39:S39"/>
    <mergeCell ref="B40:C40"/>
    <mergeCell ref="E40:K40"/>
    <mergeCell ref="L40:M40"/>
    <mergeCell ref="N40:O40"/>
    <mergeCell ref="Q40:S40"/>
    <mergeCell ref="B37:C37"/>
    <mergeCell ref="D37:S37"/>
    <mergeCell ref="E32:G32"/>
    <mergeCell ref="I32:K32"/>
    <mergeCell ref="M32:O32"/>
    <mergeCell ref="Q32:S32"/>
    <mergeCell ref="E33:G33"/>
    <mergeCell ref="E35:G35"/>
    <mergeCell ref="I35:K35"/>
    <mergeCell ref="M35:O35"/>
    <mergeCell ref="Q35:S35"/>
    <mergeCell ref="R26:S26"/>
    <mergeCell ref="B27:C28"/>
    <mergeCell ref="B29:C29"/>
    <mergeCell ref="L29:M29"/>
    <mergeCell ref="O29:S29"/>
    <mergeCell ref="A30:A37"/>
    <mergeCell ref="B30:C30"/>
    <mergeCell ref="D30:G30"/>
    <mergeCell ref="I30:K30"/>
    <mergeCell ref="M30:O30"/>
    <mergeCell ref="Q30:S30"/>
    <mergeCell ref="A8:A29"/>
    <mergeCell ref="I33:K33"/>
    <mergeCell ref="M33:O33"/>
    <mergeCell ref="Q33:S33"/>
    <mergeCell ref="E34:G34"/>
    <mergeCell ref="I34:K34"/>
    <mergeCell ref="M34:O34"/>
    <mergeCell ref="Q34:S34"/>
    <mergeCell ref="B31:C35"/>
    <mergeCell ref="E31:G31"/>
    <mergeCell ref="I31:K31"/>
    <mergeCell ref="M31:O31"/>
    <mergeCell ref="Q31:S31"/>
    <mergeCell ref="Q23:Q24"/>
    <mergeCell ref="R23:S24"/>
    <mergeCell ref="B25:C26"/>
    <mergeCell ref="D25:E25"/>
    <mergeCell ref="F25:G25"/>
    <mergeCell ref="H25:I25"/>
    <mergeCell ref="J25:K25"/>
    <mergeCell ref="L25:M25"/>
    <mergeCell ref="N25:O25"/>
    <mergeCell ref="P25:Q25"/>
    <mergeCell ref="B23:B24"/>
    <mergeCell ref="E23:E24"/>
    <mergeCell ref="H23:H24"/>
    <mergeCell ref="K23:K24"/>
    <mergeCell ref="N23:N24"/>
    <mergeCell ref="O23:P24"/>
    <mergeCell ref="R25:S25"/>
    <mergeCell ref="D26:E26"/>
    <mergeCell ref="F26:G26"/>
    <mergeCell ref="H26:I26"/>
    <mergeCell ref="J26:K26"/>
    <mergeCell ref="L26:M26"/>
    <mergeCell ref="N26:O26"/>
    <mergeCell ref="P26:Q26"/>
    <mergeCell ref="F20:I20"/>
    <mergeCell ref="K20:N20"/>
    <mergeCell ref="P20:S20"/>
    <mergeCell ref="F21:I21"/>
    <mergeCell ref="K21:N21"/>
    <mergeCell ref="P21:S21"/>
    <mergeCell ref="F22:I22"/>
    <mergeCell ref="K22:N22"/>
    <mergeCell ref="P22:S22"/>
    <mergeCell ref="B17:B22"/>
    <mergeCell ref="C17:D19"/>
    <mergeCell ref="F17:I17"/>
    <mergeCell ref="K17:N17"/>
    <mergeCell ref="P17:S17"/>
    <mergeCell ref="E15:E16"/>
    <mergeCell ref="H15:H16"/>
    <mergeCell ref="K15:K16"/>
    <mergeCell ref="L15:L16"/>
    <mergeCell ref="M15:M16"/>
    <mergeCell ref="N15:N16"/>
    <mergeCell ref="B15:B16"/>
    <mergeCell ref="F18:I18"/>
    <mergeCell ref="K18:N18"/>
    <mergeCell ref="P18:S18"/>
    <mergeCell ref="F19:I19"/>
    <mergeCell ref="K19:N19"/>
    <mergeCell ref="P19:S19"/>
    <mergeCell ref="O15:O16"/>
    <mergeCell ref="P15:P16"/>
    <mergeCell ref="Q15:Q16"/>
    <mergeCell ref="R15:R16"/>
    <mergeCell ref="S15:S16"/>
    <mergeCell ref="C20:D22"/>
    <mergeCell ref="Q8:S8"/>
    <mergeCell ref="B9:C9"/>
    <mergeCell ref="K9:L9"/>
    <mergeCell ref="R9:S9"/>
    <mergeCell ref="B10:B11"/>
    <mergeCell ref="I10:I14"/>
    <mergeCell ref="J10:J11"/>
    <mergeCell ref="K10:K11"/>
    <mergeCell ref="R10:S14"/>
    <mergeCell ref="B12:B13"/>
    <mergeCell ref="B8:C8"/>
    <mergeCell ref="E8:F8"/>
    <mergeCell ref="H8:I8"/>
    <mergeCell ref="K8:L8"/>
    <mergeCell ref="N8:O8"/>
    <mergeCell ref="K12:K13"/>
    <mergeCell ref="J13:J14"/>
    <mergeCell ref="B14:C14"/>
    <mergeCell ref="A1:S1"/>
    <mergeCell ref="A2:C2"/>
    <mergeCell ref="D2:F2"/>
    <mergeCell ref="G2:H2"/>
    <mergeCell ref="I2:L2"/>
    <mergeCell ref="N2:P2"/>
    <mergeCell ref="R2:S2"/>
    <mergeCell ref="C5:D5"/>
    <mergeCell ref="B6:C6"/>
    <mergeCell ref="D6:F6"/>
    <mergeCell ref="Q6:Q7"/>
    <mergeCell ref="B7:C7"/>
    <mergeCell ref="D7:P7"/>
    <mergeCell ref="A3:A7"/>
    <mergeCell ref="C3:F3"/>
    <mergeCell ref="H3:L3"/>
    <mergeCell ref="N3:S3"/>
    <mergeCell ref="C4:D4"/>
    <mergeCell ref="I4:J4"/>
    <mergeCell ref="K4:L4"/>
    <mergeCell ref="Q4:Q5"/>
    <mergeCell ref="R4:R5"/>
    <mergeCell ref="S4:S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F48BF1-1A36-46C4-899B-77B2A1E05FEF}">
  <dimension ref="A1:J54"/>
  <sheetViews>
    <sheetView view="pageBreakPreview" zoomScale="85" zoomScaleNormal="100" zoomScaleSheetLayoutView="85" workbookViewId="0">
      <selection activeCell="N12" sqref="N12"/>
    </sheetView>
  </sheetViews>
  <sheetFormatPr defaultRowHeight="14.4" x14ac:dyDescent="0.3"/>
  <cols>
    <col min="1" max="10" width="9.6640625" customWidth="1"/>
  </cols>
  <sheetData>
    <row r="1" spans="1:10" ht="28.8" x14ac:dyDescent="0.55000000000000004">
      <c r="A1" s="259" t="s">
        <v>398</v>
      </c>
      <c r="B1" s="259"/>
      <c r="C1" s="259"/>
      <c r="D1" s="259"/>
      <c r="E1" s="259"/>
      <c r="F1" s="259"/>
      <c r="G1" s="259"/>
      <c r="H1" s="259"/>
      <c r="I1" s="259"/>
      <c r="J1" s="259"/>
    </row>
    <row r="2" spans="1:10" ht="6.6" customHeight="1" x14ac:dyDescent="0.3">
      <c r="A2" s="200"/>
      <c r="B2" s="200"/>
      <c r="C2" s="200"/>
      <c r="D2" s="200"/>
      <c r="E2" s="200"/>
      <c r="F2" s="200"/>
      <c r="G2" s="200"/>
      <c r="H2" s="200"/>
      <c r="I2" s="200"/>
      <c r="J2" s="200"/>
    </row>
    <row r="3" spans="1:10" ht="18" x14ac:dyDescent="0.35">
      <c r="A3" s="383" t="s">
        <v>399</v>
      </c>
      <c r="B3" s="383"/>
      <c r="C3" s="383"/>
      <c r="D3" s="383"/>
      <c r="E3" s="383"/>
      <c r="F3" s="383"/>
      <c r="G3" s="383"/>
      <c r="H3" s="383"/>
      <c r="I3" s="383"/>
      <c r="J3" s="383"/>
    </row>
    <row r="4" spans="1:10" x14ac:dyDescent="0.3">
      <c r="A4" s="30"/>
      <c r="B4" s="30"/>
      <c r="C4" s="30"/>
      <c r="D4" s="30"/>
      <c r="E4" s="30"/>
      <c r="F4" s="30"/>
      <c r="G4" s="30"/>
      <c r="H4" s="30"/>
      <c r="I4" s="30"/>
      <c r="J4" s="30"/>
    </row>
    <row r="5" spans="1:10" x14ac:dyDescent="0.3">
      <c r="A5" s="30"/>
      <c r="B5" s="30"/>
      <c r="C5" s="30"/>
      <c r="D5" s="30"/>
      <c r="E5" s="30"/>
      <c r="F5" s="30"/>
      <c r="G5" s="30"/>
      <c r="H5" s="30"/>
      <c r="I5" s="30"/>
      <c r="J5" s="30"/>
    </row>
    <row r="6" spans="1:10" x14ac:dyDescent="0.3">
      <c r="A6" s="30"/>
      <c r="B6" s="30"/>
      <c r="C6" s="30"/>
      <c r="D6" s="30"/>
      <c r="E6" s="30"/>
      <c r="F6" s="30"/>
      <c r="G6" s="30"/>
      <c r="H6" s="30"/>
      <c r="I6" s="30"/>
      <c r="J6" s="30"/>
    </row>
    <row r="7" spans="1:10" x14ac:dyDescent="0.3">
      <c r="A7" s="30"/>
      <c r="B7" s="30"/>
      <c r="C7" s="30"/>
      <c r="D7" s="30"/>
      <c r="E7" s="30"/>
      <c r="F7" s="30"/>
      <c r="G7" s="30"/>
      <c r="H7" s="30"/>
      <c r="I7" s="30"/>
      <c r="J7" s="30"/>
    </row>
    <row r="8" spans="1:10" x14ac:dyDescent="0.3">
      <c r="A8" s="30"/>
      <c r="B8" s="30"/>
      <c r="C8" s="30"/>
      <c r="D8" s="30"/>
      <c r="E8" s="30"/>
      <c r="F8" s="30"/>
      <c r="G8" s="30"/>
      <c r="H8" s="30"/>
      <c r="I8" s="30"/>
      <c r="J8" s="30"/>
    </row>
    <row r="9" spans="1:10" x14ac:dyDescent="0.3">
      <c r="A9" s="30"/>
      <c r="B9" s="30"/>
      <c r="C9" s="30"/>
      <c r="D9" s="30"/>
      <c r="E9" s="30"/>
      <c r="F9" s="30"/>
      <c r="G9" s="30"/>
      <c r="H9" s="30"/>
      <c r="I9" s="30"/>
      <c r="J9" s="30"/>
    </row>
    <row r="10" spans="1:10" x14ac:dyDescent="0.3">
      <c r="A10" s="30"/>
      <c r="B10" s="30"/>
      <c r="C10" s="30"/>
      <c r="D10" s="30"/>
      <c r="E10" s="30"/>
      <c r="F10" s="30"/>
      <c r="G10" s="30"/>
      <c r="H10" s="30"/>
      <c r="I10" s="30"/>
      <c r="J10" s="30"/>
    </row>
    <row r="11" spans="1:10" x14ac:dyDescent="0.3">
      <c r="A11" s="30"/>
      <c r="B11" s="30"/>
      <c r="C11" s="30"/>
      <c r="D11" s="30"/>
      <c r="E11" s="30"/>
      <c r="F11" s="30"/>
      <c r="G11" s="30"/>
      <c r="H11" s="30"/>
      <c r="I11" s="30"/>
      <c r="J11" s="30"/>
    </row>
    <row r="12" spans="1:10" x14ac:dyDescent="0.3">
      <c r="A12" s="30"/>
      <c r="B12" s="30"/>
      <c r="C12" s="30"/>
      <c r="D12" s="30"/>
      <c r="E12" s="30"/>
      <c r="F12" s="30"/>
      <c r="G12" s="30"/>
      <c r="H12" s="30"/>
      <c r="I12" s="30"/>
      <c r="J12" s="30"/>
    </row>
    <row r="13" spans="1:10" x14ac:dyDescent="0.3">
      <c r="A13" s="30"/>
      <c r="B13" s="30"/>
      <c r="C13" s="30"/>
      <c r="D13" s="30"/>
      <c r="E13" s="30"/>
      <c r="F13" s="30"/>
      <c r="G13" s="30"/>
      <c r="H13" s="30"/>
      <c r="I13" s="30"/>
      <c r="J13" s="30"/>
    </row>
    <row r="14" spans="1:10" x14ac:dyDescent="0.3">
      <c r="A14" s="30"/>
      <c r="B14" s="30"/>
      <c r="C14" s="30"/>
      <c r="D14" s="30"/>
      <c r="E14" s="30"/>
      <c r="F14" s="30"/>
      <c r="G14" s="30"/>
      <c r="H14" s="30"/>
      <c r="I14" s="30"/>
      <c r="J14" s="30"/>
    </row>
    <row r="15" spans="1:10" x14ac:dyDescent="0.3">
      <c r="A15" s="30"/>
      <c r="B15" s="30"/>
      <c r="C15" s="30"/>
      <c r="D15" s="30"/>
      <c r="E15" s="30"/>
      <c r="F15" s="30"/>
      <c r="G15" s="30"/>
      <c r="H15" s="30"/>
      <c r="I15" s="30"/>
      <c r="J15" s="30"/>
    </row>
    <row r="16" spans="1:10" x14ac:dyDescent="0.3">
      <c r="A16" s="30"/>
      <c r="B16" s="30"/>
      <c r="C16" s="30"/>
      <c r="D16" s="30"/>
      <c r="E16" s="30"/>
      <c r="F16" s="30"/>
      <c r="G16" s="30"/>
      <c r="H16" s="30"/>
      <c r="I16" s="30"/>
      <c r="J16" s="30"/>
    </row>
    <row r="17" spans="1:10" x14ac:dyDescent="0.3">
      <c r="A17" s="30"/>
      <c r="B17" s="30"/>
      <c r="C17" s="30"/>
      <c r="D17" s="30"/>
      <c r="E17" s="30"/>
      <c r="F17" s="30"/>
      <c r="G17" s="30"/>
      <c r="H17" s="30"/>
      <c r="I17" s="30"/>
      <c r="J17" s="30"/>
    </row>
    <row r="18" spans="1:10" x14ac:dyDescent="0.3">
      <c r="A18" s="30"/>
      <c r="B18" s="30"/>
      <c r="C18" s="30"/>
      <c r="D18" s="30"/>
      <c r="E18" s="30"/>
      <c r="F18" s="30"/>
      <c r="G18" s="30"/>
      <c r="H18" s="30"/>
      <c r="I18" s="30"/>
      <c r="J18" s="30"/>
    </row>
    <row r="19" spans="1:10" x14ac:dyDescent="0.3">
      <c r="A19" s="30"/>
      <c r="B19" s="30"/>
      <c r="C19" s="30"/>
      <c r="D19" s="30"/>
      <c r="E19" s="30"/>
      <c r="F19" s="30"/>
      <c r="G19" s="30"/>
      <c r="H19" s="30"/>
      <c r="I19" s="30"/>
      <c r="J19" s="30"/>
    </row>
    <row r="20" spans="1:10" x14ac:dyDescent="0.3">
      <c r="A20" s="30"/>
      <c r="B20" s="30"/>
      <c r="C20" s="30"/>
      <c r="D20" s="30"/>
      <c r="E20" s="30"/>
      <c r="F20" s="30"/>
      <c r="G20" s="30"/>
      <c r="H20" s="30"/>
      <c r="I20" s="30"/>
      <c r="J20" s="30"/>
    </row>
    <row r="21" spans="1:10" x14ac:dyDescent="0.3">
      <c r="A21" s="30"/>
      <c r="B21" s="30"/>
      <c r="C21" s="30"/>
      <c r="D21" s="30"/>
      <c r="E21" s="30"/>
      <c r="F21" s="30"/>
      <c r="G21" s="30"/>
      <c r="H21" s="30"/>
      <c r="I21" s="30"/>
      <c r="J21" s="30"/>
    </row>
    <row r="22" spans="1:10" x14ac:dyDescent="0.3">
      <c r="A22" s="30"/>
      <c r="B22" s="30"/>
      <c r="C22" s="30"/>
      <c r="D22" s="30"/>
      <c r="E22" s="30"/>
      <c r="F22" s="30"/>
      <c r="G22" s="30"/>
      <c r="H22" s="30"/>
      <c r="I22" s="30"/>
      <c r="J22" s="30"/>
    </row>
    <row r="23" spans="1:10" x14ac:dyDescent="0.3">
      <c r="A23" s="30"/>
      <c r="B23" s="30"/>
      <c r="C23" s="30"/>
      <c r="D23" s="30"/>
      <c r="E23" s="30"/>
      <c r="F23" s="30"/>
      <c r="G23" s="30"/>
      <c r="H23" s="30"/>
      <c r="I23" s="30"/>
      <c r="J23" s="30"/>
    </row>
    <row r="24" spans="1:10" ht="18" x14ac:dyDescent="0.3">
      <c r="A24" s="384"/>
      <c r="B24" s="384"/>
      <c r="C24" s="384"/>
      <c r="D24" s="384"/>
      <c r="E24" s="384"/>
      <c r="F24" s="384"/>
      <c r="G24" s="384"/>
      <c r="H24" s="384"/>
      <c r="I24" s="384"/>
      <c r="J24" s="384"/>
    </row>
    <row r="25" spans="1:10" x14ac:dyDescent="0.3">
      <c r="A25" s="30"/>
      <c r="B25" s="30"/>
      <c r="C25" s="30"/>
      <c r="D25" s="30"/>
      <c r="E25" s="30"/>
      <c r="F25" s="30"/>
      <c r="G25" s="30"/>
      <c r="H25" s="30"/>
      <c r="I25" s="30"/>
      <c r="J25" s="30"/>
    </row>
    <row r="26" spans="1:10" x14ac:dyDescent="0.3">
      <c r="A26" s="30"/>
      <c r="B26" s="30"/>
      <c r="C26" s="30"/>
      <c r="D26" s="30"/>
      <c r="E26" s="30"/>
      <c r="F26" s="30"/>
      <c r="G26" s="30"/>
      <c r="H26" s="30"/>
      <c r="I26" s="30"/>
      <c r="J26" s="30"/>
    </row>
    <row r="27" spans="1:10" ht="18" x14ac:dyDescent="0.3">
      <c r="A27" s="381" t="s">
        <v>397</v>
      </c>
      <c r="B27" s="381"/>
      <c r="C27" s="381"/>
      <c r="D27" s="381"/>
      <c r="E27" s="381"/>
      <c r="F27" s="381"/>
      <c r="G27" s="381"/>
      <c r="H27" s="381"/>
      <c r="I27" s="381"/>
      <c r="J27" s="381"/>
    </row>
    <row r="28" spans="1:10" x14ac:dyDescent="0.3">
      <c r="A28" s="30"/>
      <c r="B28" s="30"/>
      <c r="C28" s="30"/>
      <c r="D28" s="30"/>
      <c r="E28" s="30"/>
      <c r="F28" s="30"/>
      <c r="G28" s="30"/>
      <c r="H28" s="30"/>
      <c r="I28" s="30"/>
      <c r="J28" s="30"/>
    </row>
    <row r="29" spans="1:10" x14ac:dyDescent="0.3">
      <c r="A29" s="30"/>
      <c r="B29" s="30"/>
      <c r="C29" s="30"/>
      <c r="D29" s="30"/>
      <c r="E29" s="30"/>
      <c r="F29" s="30"/>
      <c r="G29" s="30"/>
      <c r="H29" s="30"/>
      <c r="I29" s="30"/>
      <c r="J29" s="30"/>
    </row>
    <row r="30" spans="1:10" x14ac:dyDescent="0.3">
      <c r="A30" s="30"/>
      <c r="B30" s="30"/>
      <c r="C30" s="30"/>
      <c r="D30" s="30"/>
      <c r="E30" s="30"/>
      <c r="F30" s="30"/>
      <c r="G30" s="30"/>
      <c r="H30" s="30"/>
      <c r="I30" s="30"/>
      <c r="J30" s="30"/>
    </row>
    <row r="31" spans="1:10" x14ac:dyDescent="0.3">
      <c r="A31" s="30"/>
      <c r="B31" s="30"/>
      <c r="C31" s="30"/>
      <c r="D31" s="30"/>
      <c r="E31" s="30"/>
      <c r="F31" s="30"/>
      <c r="G31" s="30"/>
      <c r="H31" s="30"/>
      <c r="I31" s="30"/>
      <c r="J31" s="30"/>
    </row>
    <row r="32" spans="1:10" x14ac:dyDescent="0.3">
      <c r="A32" s="30"/>
      <c r="B32" s="30"/>
      <c r="C32" s="30"/>
      <c r="D32" s="30"/>
      <c r="E32" s="30"/>
      <c r="F32" s="30"/>
      <c r="G32" s="30"/>
      <c r="H32" s="30"/>
      <c r="I32" s="30"/>
      <c r="J32" s="30"/>
    </row>
    <row r="33" spans="1:10" x14ac:dyDescent="0.3">
      <c r="A33" s="30"/>
      <c r="B33" s="30"/>
      <c r="C33" s="30"/>
      <c r="D33" s="30"/>
      <c r="E33" s="30"/>
      <c r="F33" s="30"/>
      <c r="G33" s="30"/>
      <c r="H33" s="30"/>
      <c r="I33" s="30"/>
      <c r="J33" s="30"/>
    </row>
    <row r="34" spans="1:10" x14ac:dyDescent="0.3">
      <c r="A34" s="30"/>
      <c r="B34" s="30"/>
      <c r="C34" s="30"/>
      <c r="D34" s="30"/>
      <c r="E34" s="30"/>
      <c r="F34" s="30"/>
      <c r="G34" s="30"/>
      <c r="H34" s="30"/>
      <c r="I34" s="30"/>
      <c r="J34" s="30"/>
    </row>
    <row r="35" spans="1:10" x14ac:dyDescent="0.3">
      <c r="A35" s="30"/>
      <c r="B35" s="30"/>
      <c r="C35" s="30"/>
      <c r="D35" s="30"/>
      <c r="E35" s="30"/>
      <c r="F35" s="30"/>
      <c r="G35" s="30"/>
      <c r="H35" s="30"/>
      <c r="I35" s="30"/>
      <c r="J35" s="30"/>
    </row>
    <row r="36" spans="1:10" x14ac:dyDescent="0.3">
      <c r="A36" s="30"/>
      <c r="B36" s="30"/>
      <c r="C36" s="30"/>
      <c r="D36" s="30"/>
      <c r="E36" s="30"/>
      <c r="F36" s="30"/>
      <c r="G36" s="30"/>
      <c r="H36" s="30"/>
      <c r="I36" s="30"/>
      <c r="J36" s="30"/>
    </row>
    <row r="37" spans="1:10" x14ac:dyDescent="0.3">
      <c r="A37" s="30"/>
      <c r="B37" s="30"/>
      <c r="C37" s="30"/>
      <c r="D37" s="30"/>
      <c r="E37" s="30"/>
      <c r="F37" s="30"/>
      <c r="G37" s="30"/>
      <c r="H37" s="30"/>
      <c r="I37" s="30"/>
      <c r="J37" s="30"/>
    </row>
    <row r="38" spans="1:10" x14ac:dyDescent="0.3">
      <c r="A38" s="30"/>
      <c r="B38" s="30"/>
      <c r="C38" s="30"/>
      <c r="D38" s="30"/>
      <c r="E38" s="30"/>
      <c r="F38" s="30"/>
      <c r="G38" s="30"/>
      <c r="H38" s="30"/>
      <c r="I38" s="30"/>
      <c r="J38" s="30"/>
    </row>
    <row r="39" spans="1:10" x14ac:dyDescent="0.3">
      <c r="A39" s="30"/>
      <c r="B39" s="30"/>
      <c r="C39" s="30"/>
      <c r="D39" s="30"/>
      <c r="E39" s="30"/>
      <c r="F39" s="30"/>
      <c r="G39" s="30"/>
      <c r="H39" s="30"/>
      <c r="I39" s="30"/>
      <c r="J39" s="30"/>
    </row>
    <row r="40" spans="1:10" x14ac:dyDescent="0.3">
      <c r="A40" s="30"/>
      <c r="B40" s="30"/>
      <c r="C40" s="30"/>
      <c r="D40" s="30"/>
      <c r="E40" s="30"/>
      <c r="F40" s="30"/>
      <c r="G40" s="30"/>
      <c r="H40" s="30"/>
      <c r="I40" s="30"/>
      <c r="J40" s="30"/>
    </row>
    <row r="41" spans="1:10" x14ac:dyDescent="0.3">
      <c r="A41" s="382"/>
      <c r="B41" s="382"/>
      <c r="C41" s="382"/>
      <c r="D41" s="382"/>
      <c r="E41" s="382"/>
      <c r="F41" s="382"/>
      <c r="G41" s="382"/>
      <c r="H41" s="382"/>
      <c r="I41" s="382"/>
      <c r="J41" s="382"/>
    </row>
    <row r="42" spans="1:10" x14ac:dyDescent="0.3">
      <c r="A42" s="382"/>
      <c r="B42" s="382"/>
      <c r="C42" s="382"/>
      <c r="D42" s="382"/>
      <c r="E42" s="382"/>
      <c r="F42" s="382"/>
      <c r="G42" s="382"/>
      <c r="H42" s="382"/>
      <c r="I42" s="382"/>
      <c r="J42" s="382"/>
    </row>
    <row r="43" spans="1:10" x14ac:dyDescent="0.3">
      <c r="A43" s="382"/>
      <c r="B43" s="382"/>
      <c r="C43" s="382"/>
      <c r="D43" s="382"/>
      <c r="E43" s="382"/>
      <c r="F43" s="382"/>
      <c r="G43" s="382"/>
      <c r="H43" s="382"/>
      <c r="I43" s="382"/>
      <c r="J43" s="382"/>
    </row>
    <row r="44" spans="1:10" x14ac:dyDescent="0.3">
      <c r="A44" s="30"/>
      <c r="B44" s="30"/>
      <c r="C44" s="30"/>
      <c r="D44" s="30"/>
      <c r="E44" s="30"/>
      <c r="F44" s="30"/>
      <c r="G44" s="30"/>
      <c r="H44" s="30"/>
      <c r="I44" s="30"/>
      <c r="J44" s="30"/>
    </row>
    <row r="45" spans="1:10" ht="31.8" customHeight="1" x14ac:dyDescent="0.3">
      <c r="A45" s="30"/>
      <c r="B45" s="30"/>
      <c r="C45" s="30"/>
      <c r="D45" s="30"/>
      <c r="E45" s="30"/>
      <c r="F45" s="30"/>
      <c r="G45" s="30"/>
      <c r="H45" s="30"/>
      <c r="I45" s="30"/>
      <c r="J45" s="30"/>
    </row>
    <row r="46" spans="1:10" ht="26.4" customHeight="1" x14ac:dyDescent="0.3">
      <c r="A46" s="30"/>
      <c r="B46" s="30"/>
      <c r="C46" s="30"/>
      <c r="D46" s="30"/>
      <c r="E46" s="30"/>
      <c r="F46" s="30"/>
      <c r="G46" s="30"/>
      <c r="H46" s="30"/>
      <c r="I46" s="30"/>
      <c r="J46" s="30"/>
    </row>
    <row r="47" spans="1:10" ht="57" customHeight="1" x14ac:dyDescent="0.3">
      <c r="A47" s="30"/>
      <c r="B47" s="30"/>
      <c r="C47" s="30"/>
      <c r="D47" s="30"/>
      <c r="E47" s="30"/>
      <c r="F47" s="30"/>
      <c r="G47" s="30"/>
      <c r="H47" s="30"/>
      <c r="I47" s="30"/>
      <c r="J47" s="30"/>
    </row>
    <row r="48" spans="1:10" ht="53.4" customHeight="1" x14ac:dyDescent="0.3">
      <c r="A48" s="379" t="s">
        <v>370</v>
      </c>
      <c r="B48" s="380"/>
      <c r="C48" s="380"/>
      <c r="D48" s="380"/>
      <c r="E48" s="380"/>
      <c r="F48" s="380"/>
      <c r="G48" s="380"/>
      <c r="H48" s="380"/>
      <c r="I48" s="380"/>
      <c r="J48" s="380"/>
    </row>
    <row r="49" spans="1:10" x14ac:dyDescent="0.3">
      <c r="A49" s="30"/>
      <c r="B49" s="30"/>
      <c r="C49" s="30"/>
      <c r="D49" s="30"/>
      <c r="E49" s="30"/>
      <c r="F49" s="30"/>
      <c r="G49" s="30"/>
      <c r="H49" s="30"/>
      <c r="I49" s="30"/>
      <c r="J49" s="30"/>
    </row>
    <row r="50" spans="1:10" x14ac:dyDescent="0.3">
      <c r="A50" s="30"/>
      <c r="B50" s="30"/>
      <c r="C50" s="30"/>
      <c r="D50" s="30"/>
      <c r="E50" s="30"/>
      <c r="F50" s="30"/>
      <c r="G50" s="30"/>
      <c r="H50" s="30"/>
      <c r="I50" s="30"/>
      <c r="J50" s="30"/>
    </row>
    <row r="51" spans="1:10" x14ac:dyDescent="0.3">
      <c r="A51" s="30"/>
      <c r="B51" s="30"/>
      <c r="C51" s="30"/>
      <c r="D51" s="30"/>
      <c r="E51" s="30"/>
      <c r="F51" s="30"/>
      <c r="G51" s="30"/>
      <c r="H51" s="30"/>
      <c r="I51" s="30"/>
      <c r="J51" s="30"/>
    </row>
    <row r="52" spans="1:10" x14ac:dyDescent="0.3">
      <c r="A52" s="30"/>
      <c r="B52" s="30"/>
      <c r="C52" s="30"/>
      <c r="D52" s="30"/>
      <c r="E52" s="30"/>
      <c r="F52" s="30"/>
      <c r="G52" s="30"/>
      <c r="H52" s="30"/>
      <c r="I52" s="30"/>
      <c r="J52" s="30"/>
    </row>
    <row r="53" spans="1:10" x14ac:dyDescent="0.3">
      <c r="A53" s="30"/>
      <c r="B53" s="30"/>
      <c r="C53" s="30"/>
      <c r="D53" s="30"/>
      <c r="E53" s="30"/>
      <c r="F53" s="30"/>
      <c r="G53" s="30"/>
      <c r="H53" s="30"/>
      <c r="I53" s="30"/>
      <c r="J53" s="30"/>
    </row>
    <row r="54" spans="1:10" x14ac:dyDescent="0.3">
      <c r="A54" s="30"/>
      <c r="B54" s="30"/>
      <c r="C54" s="30"/>
      <c r="D54" s="30"/>
      <c r="E54" s="30"/>
      <c r="F54" s="30"/>
      <c r="G54" s="30"/>
      <c r="H54" s="30"/>
      <c r="I54" s="30"/>
      <c r="J54" s="30"/>
    </row>
  </sheetData>
  <mergeCells count="7">
    <mergeCell ref="A48:J48"/>
    <mergeCell ref="A27:J27"/>
    <mergeCell ref="A1:J1"/>
    <mergeCell ref="A2:J2"/>
    <mergeCell ref="A41:J43"/>
    <mergeCell ref="A3:J3"/>
    <mergeCell ref="A24:J24"/>
  </mergeCells>
  <pageMargins left="0.7" right="0.7" top="0.75" bottom="0.75" header="0.3" footer="0.3"/>
  <pageSetup paperSize="9" scale="87"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11</vt:i4>
      </vt:variant>
      <vt:variant>
        <vt:lpstr>Named Ranges</vt:lpstr>
      </vt:variant>
      <vt:variant>
        <vt:i4>10</vt:i4>
      </vt:variant>
    </vt:vector>
  </HeadingPairs>
  <TitlesOfParts>
    <vt:vector size="21" baseType="lpstr">
      <vt:lpstr>MIL 科学注塑适用范围MIL Scientific Mold</vt:lpstr>
      <vt:lpstr>MILScientific Injection Molding</vt:lpstr>
      <vt:lpstr>温度设置 Set Temp</vt:lpstr>
      <vt:lpstr>粘度曲线Viscosity Curve</vt:lpstr>
      <vt:lpstr>动态压力降测试Dynamic pressure  test</vt:lpstr>
      <vt:lpstr>型腔平衡测试CAV balance test</vt:lpstr>
      <vt:lpstr>压力工艺窗口Pressure process window</vt:lpstr>
      <vt:lpstr>浇口冻结测试Gate freezing test</vt:lpstr>
      <vt:lpstr>锁模力优化Optimization of clamping f</vt:lpstr>
      <vt:lpstr>MIL INJECTION MOLD TRIAL SHOT R</vt:lpstr>
      <vt:lpstr>Standard curve of the sensor</vt:lpstr>
      <vt:lpstr>'MIL 科学注塑适用范围MIL Scientific Mold'!Print_Area</vt:lpstr>
      <vt:lpstr>'MILScientific Injection Molding'!Print_Area</vt:lpstr>
      <vt:lpstr>'Standard curve of the sensor'!Print_Area</vt:lpstr>
      <vt:lpstr>'动态压力降测试Dynamic pressure  test'!Print_Area</vt:lpstr>
      <vt:lpstr>'压力工艺窗口Pressure process window'!Print_Area</vt:lpstr>
      <vt:lpstr>'型腔平衡测试CAV balance test'!Print_Area</vt:lpstr>
      <vt:lpstr>'浇口冻结测试Gate freezing test'!Print_Area</vt:lpstr>
      <vt:lpstr>'温度设置 Set Temp'!Print_Area</vt:lpstr>
      <vt:lpstr>'粘度曲线Viscosity Curve'!Print_Area</vt:lpstr>
      <vt:lpstr>'锁模力优化Optimization of clamping f'!Print_Area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keywords>AL</cp:keywords>
  <cp:lastModifiedBy>Alan Long Zhi Guo (CN.DGMIL-MEA-Tooling) 龙治国</cp:lastModifiedBy>
  <cp:lastPrinted>2025-04-24T03:19:21Z</cp:lastPrinted>
  <dcterms:created xsi:type="dcterms:W3CDTF">2015-06-05T18:17:20Z</dcterms:created>
  <dcterms:modified xsi:type="dcterms:W3CDTF">2025-12-17T08:46:00Z</dcterms:modified>
</cp:coreProperties>
</file>